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ojo\助教作業\114-2\"/>
    </mc:Choice>
  </mc:AlternateContent>
  <xr:revisionPtr revIDLastSave="0" documentId="8_{536EC1F5-76A4-43F0-8A76-6C2E3D09DE43}" xr6:coauthVersionLast="47" xr6:coauthVersionMax="47" xr10:uidLastSave="{00000000-0000-0000-0000-000000000000}"/>
  <bookViews>
    <workbookView xWindow="-108" yWindow="-108" windowWidth="24792" windowHeight="13320" xr2:uid="{F245DC0F-64AB-42E9-B9CC-2AD80CC95D84}"/>
  </bookViews>
  <sheets>
    <sheet name="orig" sheetId="1" r:id="rId1"/>
    <sheet name="HW1_作業批改" sheetId="2" r:id="rId2"/>
    <sheet name="HW2_作業批改" sheetId="3" r:id="rId3"/>
    <sheet name="HW3_作業批改" sheetId="4" r:id="rId4"/>
    <sheet name="HW4_作業批改" sheetId="5" r:id="rId5"/>
    <sheet name="HW5_作業批改" sheetId="6" r:id="rId6"/>
  </sheets>
  <definedNames>
    <definedName name="name" localSheetId="0">#REF!</definedName>
    <definedName name="name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4" i="1" l="1"/>
  <c r="O54" i="1"/>
  <c r="M54" i="1"/>
  <c r="L54" i="1"/>
  <c r="K54" i="1"/>
  <c r="J54" i="1"/>
  <c r="I54" i="1"/>
  <c r="H54" i="1"/>
  <c r="P53" i="1" a="1"/>
  <c r="P53" i="1" s="1"/>
  <c r="O53" i="1" a="1"/>
  <c r="O53" i="1" s="1"/>
  <c r="M53" i="1" a="1"/>
  <c r="M53" i="1" s="1"/>
  <c r="L53" i="1" a="1"/>
  <c r="L53" i="1" s="1"/>
  <c r="K53" i="1" a="1"/>
  <c r="K53" i="1" s="1"/>
  <c r="J53" i="1" a="1"/>
  <c r="J53" i="1" s="1"/>
  <c r="I53" i="1" a="1"/>
  <c r="I53" i="1" s="1"/>
  <c r="H53" i="1" a="1"/>
  <c r="H53" i="1" s="1"/>
  <c r="X52" i="1" a="1"/>
  <c r="X52" i="1" s="1"/>
  <c r="W52" i="1" a="1"/>
  <c r="W52" i="1" s="1"/>
  <c r="V52" i="1" a="1"/>
  <c r="V52" i="1" s="1"/>
  <c r="U52" i="1" a="1"/>
  <c r="U52" i="1" s="1"/>
  <c r="T52" i="1" a="1"/>
  <c r="T52" i="1" s="1"/>
  <c r="S52" i="1" a="1"/>
  <c r="S52" i="1" s="1"/>
  <c r="R52" i="1" a="1"/>
  <c r="R52" i="1" s="1"/>
  <c r="P52" i="1" a="1"/>
  <c r="P52" i="1" s="1"/>
  <c r="O52" i="1" a="1"/>
  <c r="O52" i="1" s="1"/>
  <c r="P51" i="1"/>
  <c r="O51" i="1"/>
  <c r="M51" i="1"/>
  <c r="L51" i="1"/>
  <c r="K51" i="1"/>
  <c r="J51" i="1"/>
  <c r="I51" i="1"/>
  <c r="H51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1" i="1"/>
  <c r="Q53" i="1" l="1" a="1"/>
  <c r="Q53" i="1" s="1"/>
  <c r="Q52" i="1" a="1"/>
  <c r="Q52" i="1" s="1"/>
  <c r="Q51" i="1"/>
</calcChain>
</file>

<file path=xl/sharedStrings.xml><?xml version="1.0" encoding="utf-8"?>
<sst xmlns="http://schemas.openxmlformats.org/spreadsheetml/2006/main" count="1392" uniqueCount="296">
  <si>
    <t>態度</t>
    <phoneticPr fontId="4" type="noConversion"/>
  </si>
  <si>
    <t>Adjust/Copy</t>
  </si>
  <si>
    <r>
      <t>N</t>
    </r>
    <r>
      <rPr>
        <sz val="12"/>
        <rFont val="新細明體"/>
        <family val="1"/>
        <charset val="136"/>
      </rPr>
      <t>o</t>
    </r>
    <phoneticPr fontId="4" type="noConversion"/>
  </si>
  <si>
    <t>班級</t>
    <phoneticPr fontId="4" type="noConversion"/>
  </si>
  <si>
    <t>學號</t>
    <phoneticPr fontId="4" type="noConversion"/>
  </si>
  <si>
    <t>姓名</t>
  </si>
  <si>
    <t>成績</t>
    <phoneticPr fontId="4" type="noConversion"/>
  </si>
  <si>
    <t>備註</t>
    <phoneticPr fontId="4" type="noConversion"/>
  </si>
  <si>
    <t>出席</t>
    <phoneticPr fontId="4" type="noConversion"/>
  </si>
  <si>
    <t>hw1</t>
  </si>
  <si>
    <t>hw2</t>
    <phoneticPr fontId="4" type="noConversion"/>
  </si>
  <si>
    <t>hw3</t>
  </si>
  <si>
    <t>hw4</t>
    <phoneticPr fontId="5" type="noConversion"/>
  </si>
  <si>
    <t>hw5</t>
    <phoneticPr fontId="5" type="noConversion"/>
  </si>
  <si>
    <t>hw6</t>
    <phoneticPr fontId="5" type="noConversion"/>
  </si>
  <si>
    <t>Quiz</t>
    <phoneticPr fontId="5" type="noConversion"/>
  </si>
  <si>
    <t>finalA</t>
    <phoneticPr fontId="5" type="noConversion"/>
  </si>
  <si>
    <t>finalB</t>
    <phoneticPr fontId="5" type="noConversion"/>
  </si>
  <si>
    <t>原總分</t>
    <phoneticPr fontId="6" type="noConversion"/>
  </si>
  <si>
    <t>hw2</t>
  </si>
  <si>
    <t>hw4</t>
  </si>
  <si>
    <t>hw5</t>
  </si>
  <si>
    <t>hw6</t>
  </si>
  <si>
    <t>機械系四A</t>
  </si>
  <si>
    <t>110611065</t>
  </si>
  <si>
    <t>蔡啓陽</t>
  </si>
  <si>
    <t xml:space="preserve">在學 </t>
  </si>
  <si>
    <t>運管系四</t>
  </si>
  <si>
    <t>110701033</t>
  </si>
  <si>
    <t>李幸其</t>
  </si>
  <si>
    <t>資財系財金組四</t>
  </si>
  <si>
    <t>110705053</t>
  </si>
  <si>
    <t>劉妍和</t>
  </si>
  <si>
    <t>電物系電物組四</t>
  </si>
  <si>
    <t>111651021</t>
  </si>
  <si>
    <t>吳旻晏</t>
  </si>
  <si>
    <t>應數系四</t>
  </si>
  <si>
    <t>111652025</t>
  </si>
  <si>
    <t>林郁翔</t>
  </si>
  <si>
    <t>應化系四</t>
  </si>
  <si>
    <t>111654029</t>
  </si>
  <si>
    <t>陳漢唐</t>
  </si>
  <si>
    <t>管科系四</t>
  </si>
  <si>
    <t>111700007</t>
  </si>
  <si>
    <t>程馨慧</t>
  </si>
  <si>
    <t>陳譔羽</t>
  </si>
  <si>
    <t>工管系四</t>
  </si>
  <si>
    <t>111704011</t>
  </si>
  <si>
    <t>鄭弘煒</t>
  </si>
  <si>
    <t>百川四</t>
  </si>
  <si>
    <t>111950009</t>
  </si>
  <si>
    <t>許育慈</t>
  </si>
  <si>
    <t>生科系三B</t>
  </si>
  <si>
    <t>112350014</t>
  </si>
  <si>
    <t>李岦翰</t>
  </si>
  <si>
    <t xml:space="preserve"> </t>
  </si>
  <si>
    <t>112350020</t>
  </si>
  <si>
    <t>林奕嘉</t>
  </si>
  <si>
    <t>生科系三A</t>
  </si>
  <si>
    <t>112350045</t>
  </si>
  <si>
    <t>蔡明佑</t>
  </si>
  <si>
    <t>112350079</t>
  </si>
  <si>
    <t>張羽宸</t>
  </si>
  <si>
    <t>機械系三B</t>
  </si>
  <si>
    <t>112611024</t>
  </si>
  <si>
    <t>林禹常</t>
  </si>
  <si>
    <t>機械系三A</t>
  </si>
  <si>
    <t>112611049</t>
  </si>
  <si>
    <t>林柏均</t>
  </si>
  <si>
    <t>材料系三</t>
  </si>
  <si>
    <t>112613017</t>
  </si>
  <si>
    <t>涂晉綸</t>
  </si>
  <si>
    <t>112613037</t>
  </si>
  <si>
    <t>陳昱瑜</t>
  </si>
  <si>
    <t>管科系三</t>
  </si>
  <si>
    <t>112700038</t>
  </si>
  <si>
    <t>吳承濬</t>
  </si>
  <si>
    <t>資財系資管組三</t>
  </si>
  <si>
    <t>112705016</t>
  </si>
  <si>
    <t>徐嘉謙</t>
  </si>
  <si>
    <t>資財系財金組三</t>
  </si>
  <si>
    <t>112705076</t>
  </si>
  <si>
    <t>鄭丞宏</t>
  </si>
  <si>
    <t>生科系二A</t>
  </si>
  <si>
    <t>113350058</t>
  </si>
  <si>
    <t>蘇偉嘉</t>
  </si>
  <si>
    <t>外文系二</t>
  </si>
  <si>
    <t>楊喆宇</t>
  </si>
  <si>
    <t>機械系二A</t>
  </si>
  <si>
    <t>113611019</t>
  </si>
  <si>
    <t>廖台英</t>
  </si>
  <si>
    <t>113611023</t>
  </si>
  <si>
    <t>趙偉翔</t>
  </si>
  <si>
    <t>113611027</t>
  </si>
  <si>
    <t>陳泓瑞</t>
  </si>
  <si>
    <t>機械系二B</t>
  </si>
  <si>
    <t>113611056</t>
  </si>
  <si>
    <t>蔡宜珈</t>
  </si>
  <si>
    <t>113611085</t>
  </si>
  <si>
    <t>涂思齊</t>
  </si>
  <si>
    <t>113611108</t>
  </si>
  <si>
    <t>余宙珈</t>
  </si>
  <si>
    <t>運管系二</t>
  </si>
  <si>
    <t>113701062</t>
  </si>
  <si>
    <t>王妤安</t>
  </si>
  <si>
    <t>工管系二</t>
  </si>
  <si>
    <t>113704054</t>
  </si>
  <si>
    <t>楊益華</t>
  </si>
  <si>
    <t>醫學系一A</t>
  </si>
  <si>
    <t>114101109</t>
  </si>
  <si>
    <t>林延鑫</t>
  </si>
  <si>
    <t>牙醫系一</t>
  </si>
  <si>
    <t>114150027</t>
  </si>
  <si>
    <t>陳皓凱</t>
  </si>
  <si>
    <t>生科系基因體所一</t>
  </si>
  <si>
    <t>114304010</t>
  </si>
  <si>
    <t>張鈞皓</t>
  </si>
  <si>
    <t>人社系一</t>
  </si>
  <si>
    <t>114481030</t>
  </si>
  <si>
    <t>陳宏威</t>
  </si>
  <si>
    <t>傳科系一</t>
  </si>
  <si>
    <t>114483023</t>
  </si>
  <si>
    <t>李珺翔</t>
  </si>
  <si>
    <t>土木系一A</t>
  </si>
  <si>
    <t>114612043</t>
  </si>
  <si>
    <t>曾品雋</t>
  </si>
  <si>
    <t>114612045</t>
  </si>
  <si>
    <t>呂書賢</t>
  </si>
  <si>
    <t>土木系一C</t>
  </si>
  <si>
    <t>114612113</t>
  </si>
  <si>
    <t>莊承祐</t>
  </si>
  <si>
    <t>114612119</t>
  </si>
  <si>
    <t>陳禹廷</t>
  </si>
  <si>
    <t>應數系一</t>
  </si>
  <si>
    <t>114652002</t>
  </si>
  <si>
    <t>吳昕燁</t>
  </si>
  <si>
    <t>114652015</t>
  </si>
  <si>
    <t>彭維賾</t>
  </si>
  <si>
    <t>114652019</t>
  </si>
  <si>
    <t>王文弦</t>
  </si>
  <si>
    <t>114652049</t>
  </si>
  <si>
    <t>焦翊倫</t>
  </si>
  <si>
    <t>114652059</t>
  </si>
  <si>
    <t>劉永霖</t>
  </si>
  <si>
    <t>選讀1(選讀)</t>
  </si>
  <si>
    <t>614001032</t>
  </si>
  <si>
    <t>葉佳淯</t>
  </si>
  <si>
    <t>h1成績</t>
    <phoneticPr fontId="4" type="noConversion"/>
  </si>
  <si>
    <t>錯誤類型</t>
  </si>
  <si>
    <r>
      <t>N</t>
    </r>
    <r>
      <rPr>
        <b/>
        <sz val="12"/>
        <rFont val="新細明體"/>
        <family val="1"/>
        <charset val="136"/>
      </rPr>
      <t>o</t>
    </r>
    <phoneticPr fontId="4" type="noConversion"/>
  </si>
  <si>
    <t>代碼</t>
  </si>
  <si>
    <t>判斷方式</t>
  </si>
  <si>
    <t>常見情況</t>
  </si>
  <si>
    <t>E1</t>
  </si>
  <si>
    <t>語法錯誤</t>
  </si>
  <si>
    <t>程式無法執行</t>
  </si>
  <si>
    <t>少括號、拼字錯誤、縮排錯誤</t>
  </si>
  <si>
    <t>E2</t>
  </si>
  <si>
    <t>執行錯誤</t>
  </si>
  <si>
    <t>執行中斷</t>
  </si>
  <si>
    <t>除以0、index錯誤、型別錯誤</t>
  </si>
  <si>
    <t>執行時發生錯誤</t>
  </si>
  <si>
    <t>E3</t>
  </si>
  <si>
    <t>邏輯錯誤</t>
  </si>
  <si>
    <t>有結果但錯誤</t>
  </si>
  <si>
    <t>if條件錯、公式錯、迴圈錯</t>
  </si>
  <si>
    <t>E4</t>
  </si>
  <si>
    <t>輸出格式錯誤</t>
  </si>
  <si>
    <t>格式不符題目</t>
  </si>
  <si>
    <t>少空格、換行錯、順序錯</t>
  </si>
  <si>
    <t>輸出格式不符</t>
  </si>
  <si>
    <t>E5</t>
  </si>
  <si>
    <t>邊界條件未處理</t>
  </si>
  <si>
    <t>特殊情況錯誤</t>
  </si>
  <si>
    <t>n=0、空值、極端值</t>
  </si>
  <si>
    <t>未處理特殊情況</t>
  </si>
  <si>
    <t>E6</t>
  </si>
  <si>
    <t>未依題目要求</t>
  </si>
  <si>
    <t>不符合限制</t>
  </si>
  <si>
    <t>使用禁用方法、少做功能</t>
  </si>
  <si>
    <t>未依題目要求作答</t>
  </si>
  <si>
    <t>扣分說明</t>
    <phoneticPr fontId="2" type="noConversion"/>
  </si>
  <si>
    <t>原因備註</t>
    <phoneticPr fontId="2" type="noConversion"/>
  </si>
  <si>
    <t>未交作業</t>
    <phoneticPr fontId="2" type="noConversion"/>
  </si>
  <si>
    <t>NA</t>
    <phoneticPr fontId="2" type="noConversion"/>
  </si>
  <si>
    <t>E3、E6</t>
    <phoneticPr fontId="2" type="noConversion"/>
  </si>
  <si>
    <t>詳細內容</t>
    <phoneticPr fontId="2" type="noConversion"/>
  </si>
  <si>
    <t>E1</t>
    <phoneticPr fontId="2" type="noConversion"/>
  </si>
  <si>
    <t>E7</t>
    <phoneticPr fontId="2" type="noConversion"/>
  </si>
  <si>
    <t>邏輯判斷錯誤</t>
    <phoneticPr fontId="2" type="noConversion"/>
  </si>
  <si>
    <t>邏輯判斷錯誤；未依題目要求作答，跑出來結果不符</t>
    <phoneticPr fontId="2" type="noConversion"/>
  </si>
  <si>
    <t>邏輯判斷錯誤；未依題目要求作答</t>
    <phoneticPr fontId="2" type="noConversion"/>
  </si>
  <si>
    <t>程式無法執行</t>
    <phoneticPr fontId="2" type="noConversion"/>
  </si>
  <si>
    <t>應改fioat為float，拼字錯誤</t>
    <phoneticPr fontId="2" type="noConversion"/>
  </si>
  <si>
    <t>無法正常批改或讀取</t>
    <phoneticPr fontId="2" type="noConversion"/>
  </si>
  <si>
    <t>繳交格式錯誤</t>
    <phoneticPr fontId="2" type="noConversion"/>
  </si>
  <si>
    <t>無法正確讀取或評分檔案</t>
    <phoneticPr fontId="2" type="noConversion"/>
  </si>
  <si>
    <t>檔名錯誤、副檔名錯（.py/.txt）、未依規定格式提交、壓縮檔錯誤</t>
    <phoneticPr fontId="2" type="noConversion"/>
  </si>
  <si>
    <t>應轉.ipynb檔應為.py檔</t>
    <phoneticPr fontId="2" type="noConversion"/>
  </si>
  <si>
    <t>算式列錯、防呆邏輯程式錯誤</t>
    <phoneticPr fontId="2" type="noConversion"/>
  </si>
  <si>
    <t>陳譔羽</t>
    <phoneticPr fontId="2" type="noConversion"/>
  </si>
  <si>
    <t>楊喆宇</t>
    <phoneticPr fontId="2" type="noConversion"/>
  </si>
  <si>
    <t>直接列式不用輸入長度與用迴圈、迴圈內算式列錯</t>
    <phoneticPr fontId="2" type="noConversion"/>
  </si>
  <si>
    <t>E5</t>
    <phoneticPr fontId="2" type="noConversion"/>
  </si>
  <si>
    <t>特殊情況錯誤</t>
    <phoneticPr fontId="2" type="noConversion"/>
  </si>
  <si>
    <t>h2成績</t>
    <phoneticPr fontId="4" type="noConversion"/>
  </si>
  <si>
    <t>輸入未建立防呆</t>
    <phoneticPr fontId="2" type="noConversion"/>
  </si>
  <si>
    <t>輸入未建立防呆、結果可能為分數 / 應改成 //</t>
    <phoneticPr fontId="2" type="noConversion"/>
  </si>
  <si>
    <t>有結果但錯誤</t>
    <phoneticPr fontId="2" type="noConversion"/>
  </si>
  <si>
    <t>E3</t>
    <phoneticPr fontId="2" type="noConversion"/>
  </si>
  <si>
    <t>E3、E5</t>
    <phoneticPr fontId="2" type="noConversion"/>
  </si>
  <si>
    <t>有結果但錯誤；特殊情況錯誤</t>
    <phoneticPr fontId="2" type="noConversion"/>
  </si>
  <si>
    <t>while 迴圈判斷應改為 i &lt;= blocks、輸入未建立防呆</t>
    <phoneticPr fontId="2" type="noConversion"/>
  </si>
  <si>
    <t>exit 為函數應改成 exit()</t>
    <phoneticPr fontId="2" type="noConversion"/>
  </si>
  <si>
    <t>執行錯誤</t>
    <phoneticPr fontId="2" type="noConversion"/>
  </si>
  <si>
    <t>E2</t>
    <phoneticPr fontId="2" type="noConversion"/>
  </si>
  <si>
    <t>輸入 0 無法判斷是什麼錯誤</t>
    <phoneticPr fontId="2" type="noConversion"/>
  </si>
  <si>
    <t>建議寫一種做法就好不用印兩次</t>
    <phoneticPr fontId="2" type="noConversion"/>
  </si>
  <si>
    <t>輸入 0 無法判斷是什麼錯誤、continue多餘</t>
    <phoneticPr fontId="2" type="noConversion"/>
  </si>
  <si>
    <t>if not 判斷式說請輸入正整數，但 0 卻可以通過，邊界矛盾。可改為請輸入 non-negative integer</t>
    <phoneticPr fontId="2" type="noConversion"/>
  </si>
  <si>
    <t>else 說請輸入正整數，但 0 卻可以通過，邊界矛盾。可改為請輸入 non-negative integer</t>
    <phoneticPr fontId="2" type="noConversion"/>
  </si>
  <si>
    <t>數字以外的輸入不能轉 int，會出現ValueError</t>
    <phoneticPr fontId="2" type="noConversion"/>
  </si>
  <si>
    <t xml:space="preserve"> x = int(float(user_input)) 中的float多餘，否則能輸入小數，卻不可能有小數個方塊</t>
    <phoneticPr fontId="2" type="noConversion"/>
  </si>
  <si>
    <t>在給輸入者看的指令需寫到若輸入 stop ，則結束程式</t>
    <phoneticPr fontId="2" type="noConversion"/>
  </si>
  <si>
    <t>執行指令不清楚</t>
    <phoneticPr fontId="2" type="noConversion"/>
  </si>
  <si>
    <t>執行中斷、錯誤、不清楚</t>
    <phoneticPr fontId="2" type="noConversion"/>
  </si>
  <si>
    <t>未能給予輸入者不為數字時的回饋</t>
    <phoneticPr fontId="2" type="noConversion"/>
  </si>
  <si>
    <t>x 可賦予初始值，不可賦予另一個未知數；while 迴圈格式錯誤；輸入未建立防呆</t>
    <phoneticPr fontId="2" type="noConversion"/>
  </si>
  <si>
    <t>E1、E5</t>
    <phoneticPr fontId="2" type="noConversion"/>
  </si>
  <si>
    <t>程式無法執行；特殊情況錯誤</t>
    <phoneticPr fontId="2" type="noConversion"/>
  </si>
  <si>
    <t>while &gt; 0 只能判斷還有剩，不能判斷能不能夠蓋下一層，應改為x &gt;= height + 1</t>
    <phoneticPr fontId="2" type="noConversion"/>
  </si>
  <si>
    <t>E5、E7</t>
    <phoneticPr fontId="2" type="noConversion"/>
  </si>
  <si>
    <t>特殊情況錯誤；無法正常批改或讀取</t>
    <phoneticPr fontId="2" type="noConversion"/>
  </si>
  <si>
    <t>防呆輸入沒辦法檢驗非數字；應轉.ipynb檔應為.py檔</t>
    <phoneticPr fontId="2" type="noConversion"/>
  </si>
  <si>
    <t>E2、E5</t>
    <phoneticPr fontId="2" type="noConversion"/>
  </si>
  <si>
    <t>執行指令不清楚；特殊情況錯誤</t>
    <phoneticPr fontId="2" type="noConversion"/>
  </si>
  <si>
    <t>文字提示請輸入者輸入；輸入未建立防呆</t>
    <phoneticPr fontId="2" type="noConversion"/>
  </si>
  <si>
    <t>方塊數不能輸入浮點數；結果可能為分數 / 應改成 //</t>
    <phoneticPr fontId="2" type="noConversion"/>
  </si>
  <si>
    <t>h3成績</t>
    <phoneticPr fontId="4" type="noConversion"/>
  </si>
  <si>
    <t>h5成績</t>
    <phoneticPr fontId="4" type="noConversion"/>
  </si>
  <si>
    <t>h4成績</t>
    <phoneticPr fontId="4" type="noConversion"/>
  </si>
  <si>
    <t>題目規定電腦第一步放在正中間</t>
    <phoneticPr fontId="2" type="noConversion"/>
  </si>
  <si>
    <t>E6</t>
    <phoneticPr fontId="2" type="noConversion"/>
  </si>
  <si>
    <t>未依題目要求</t>
    <phoneticPr fontId="2" type="noConversion"/>
  </si>
  <si>
    <t>E5、E6</t>
    <phoneticPr fontId="2" type="noConversion"/>
  </si>
  <si>
    <t>特殊情況錯誤；未依題目要求</t>
    <phoneticPr fontId="2" type="noConversion"/>
  </si>
  <si>
    <t>E3、E5、E6</t>
    <phoneticPr fontId="2" type="noConversion"/>
  </si>
  <si>
    <t>有結果但錯誤；特殊情況錯誤；未依題目要求</t>
    <phoneticPr fontId="2" type="noConversion"/>
  </si>
  <si>
    <t>沒有處理平手；輸入未建立防呆；題目規定電腦第一步放在正中間</t>
    <phoneticPr fontId="2" type="noConversion"/>
  </si>
  <si>
    <t>電腦棋盤會被印出兩次，建議可以改為迴圈會較通暢</t>
    <phoneticPr fontId="2" type="noConversion"/>
  </si>
  <si>
    <t>設定成滿三個棋子還沒有勝負棋子消失；題目規定電腦第一步放在正中間、棋盤形式錯誤</t>
    <phoneticPr fontId="2" type="noConversion"/>
  </si>
  <si>
    <t>有結果但錯誤；未依題目要求</t>
    <phoneticPr fontId="2" type="noConversion"/>
  </si>
  <si>
    <t>ValueError 沒有防呆；題目規定電腦第一步放在正中間</t>
    <phoneticPr fontId="2" type="noConversion"/>
  </si>
  <si>
    <t>棋盤順序不符合題目</t>
    <phoneticPr fontId="2" type="noConversion"/>
  </si>
  <si>
    <t>input 要放進 while 裡；首位外都必須為整數的敘述改成2到9碼較合適</t>
    <phoneticPr fontId="2" type="noConversion"/>
  </si>
  <si>
    <t>迴圈運行邏輯；邊界敘述</t>
    <phoneticPr fontId="2" type="noConversion"/>
  </si>
  <si>
    <t>建議輸入可建立成迴圈，才不致只能跑一次就結束</t>
  </si>
  <si>
    <t>建議輸入可建立成迴圈，才不致只能跑一次就結束</t>
    <phoneticPr fontId="2" type="noConversion"/>
  </si>
  <si>
    <t>邊界設定有誤</t>
    <phoneticPr fontId="2" type="noConversion"/>
  </si>
  <si>
    <t>沒辦法輸入前九碼</t>
    <phoneticPr fontId="2" type="noConversion"/>
  </si>
  <si>
    <t>使用者要能輸入，題目例子只是舉例</t>
    <phoneticPr fontId="2" type="noConversion"/>
  </si>
  <si>
    <t>E2、E3、E5</t>
    <phoneticPr fontId="2" type="noConversion"/>
  </si>
  <si>
    <t xml:space="preserve">防呆設定有誤，可改成 if input[1] != "1" and input[1] != "2": </t>
    <phoneticPr fontId="2" type="noConversion"/>
  </si>
  <si>
    <t>執行錯誤；邏輯錯誤；特殊情況錯誤</t>
    <phoneticPr fontId="2" type="noConversion"/>
  </si>
  <si>
    <t>W、X、Y的數字轉換錯誤；檢查碼運算應改成 check = (10 - sum % 10) % 10；防呆不完整</t>
    <phoneticPr fontId="2" type="noConversion"/>
  </si>
  <si>
    <t>未依題目要求做答</t>
    <phoneticPr fontId="2" type="noConversion"/>
  </si>
  <si>
    <t>題目要求輸入前九碼產生第十碼，而非驗證合不合規</t>
    <phoneticPr fontId="2" type="noConversion"/>
  </si>
  <si>
    <t>len(id) = 10 判斷列式錯誤；id[0].isalpha 少括號；return false 應為 False；first_char = id_str[0].upper() 的id_str[0]不存在應為id[0]；縮排錯誤；權重的範圍錯誤</t>
    <phoneticPr fontId="2" type="noConversion"/>
  </si>
  <si>
    <t>程式無法執行；邏輯錯誤</t>
    <phoneticPr fontId="2" type="noConversion"/>
  </si>
  <si>
    <t>E1、E3</t>
    <phoneticPr fontId="2" type="noConversion"/>
  </si>
  <si>
    <t>應轉為.py檔</t>
    <phoneticPr fontId="2" type="noConversion"/>
  </si>
  <si>
    <t>檢查碼運算應改成 check = (10 - total % 10) % 10</t>
    <phoneticPr fontId="2" type="noConversion"/>
  </si>
  <si>
    <t>邏輯錯誤</t>
    <phoneticPr fontId="2" type="noConversion"/>
  </si>
  <si>
    <t>檢查碼運算應改成 check = (10 - sum % 10) % 10</t>
    <phoneticPr fontId="2" type="noConversion"/>
  </si>
  <si>
    <t>最後輸出要縮排</t>
  </si>
  <si>
    <t>縮排錯誤</t>
    <phoneticPr fontId="2" type="noConversion"/>
  </si>
  <si>
    <t>__normalize對於不在範圍內的數字邏輯有漏洞可改成總秒數再去計算；輸入未建立防呆</t>
    <phoneticPr fontId="2" type="noConversion"/>
  </si>
  <si>
    <t>邏輯錯誤；特殊情況錯誤</t>
    <phoneticPr fontId="2" type="noConversion"/>
  </si>
  <si>
    <t>輸入未建立防呆與不合規的時間轉換</t>
    <phoneticPr fontId="2" type="noConversion"/>
  </si>
  <si>
    <t>正規化有漏洞可改成總秒數再去計算；防呆不完整</t>
    <phoneticPr fontId="2" type="noConversion"/>
  </si>
  <si>
    <t>輸入未建立防呆與不合規的時間轉換，非只能適用23:59:59</t>
    <phoneticPr fontId="2" type="noConversion"/>
  </si>
  <si>
    <t>正規化有漏洞；防呆不完整</t>
    <phoneticPr fontId="2" type="noConversion"/>
  </si>
  <si>
    <t>正規化有漏洞；輸入未建立防呆</t>
    <phoneticPr fontId="2" type="noConversion"/>
  </si>
  <si>
    <t>防呆不完整</t>
    <phoneticPr fontId="2" type="noConversion"/>
  </si>
  <si>
    <t>防呆不用防負數且不能有效防到非數字</t>
    <phoneticPr fontId="2" type="noConversion"/>
  </si>
  <si>
    <t>正規化、時間進退邏輯混亂；輸入未建立防呆</t>
    <phoneticPr fontId="2" type="noConversion"/>
  </si>
  <si>
    <t>時間格式為雙位數補零；輸入未建立防呆</t>
    <phoneticPr fontId="2" type="noConversion"/>
  </si>
  <si>
    <t>格式錯誤；特殊情況錯誤</t>
    <phoneticPr fontId="2" type="noConversion"/>
  </si>
  <si>
    <t>防呆不完整，會先跳出ValueError</t>
    <phoneticPr fontId="2" type="noConversion"/>
  </si>
  <si>
    <t>棋盤最後一個沒下完就跳出迴圈</t>
    <phoneticPr fontId="2" type="noConversion"/>
  </si>
  <si>
    <t>迴圈沒寫好</t>
    <phoneticPr fontId="2" type="noConversion"/>
  </si>
  <si>
    <t>語法錯誤；縮進錯誤；特殊情況錯誤</t>
    <phoneticPr fontId="2" type="noConversion"/>
  </si>
  <si>
    <t>非常多處的語法、錯字與縮排錯誤；防呆不完整</t>
    <phoneticPr fontId="2" type="noConversion"/>
  </si>
  <si>
    <t>E1、E2、E5</t>
    <phoneticPr fontId="2" type="noConversion"/>
  </si>
  <si>
    <t>未完成函式；防呆不完整</t>
    <phoneticPr fontId="2" type="noConversion"/>
  </si>
  <si>
    <t>執行中斷與錯誤；特殊情況錯誤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</si>
</sst>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_);[Red]\(0\)"/>
    <numFmt numFmtId="178" formatCode="0.0"/>
    <numFmt numFmtId="179" formatCode="0_ "/>
  </numFmts>
  <fonts count="11" x14ac:knownFonts="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b/>
      <sz val="12"/>
      <color indexed="18"/>
      <name val="新細明體"/>
      <family val="1"/>
      <charset val="136"/>
    </font>
    <font>
      <b/>
      <sz val="18"/>
      <color theme="3"/>
      <name val="新細明體"/>
      <family val="2"/>
      <charset val="136"/>
      <scheme val="major"/>
    </font>
    <font>
      <sz val="9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color theme="5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53">
    <xf numFmtId="0" fontId="0" fillId="0" borderId="0" xfId="0">
      <alignment vertical="center"/>
    </xf>
    <xf numFmtId="0" fontId="1" fillId="0" borderId="0" xfId="1">
      <alignment vertical="center"/>
    </xf>
    <xf numFmtId="176" fontId="1" fillId="0" borderId="0" xfId="2" applyNumberFormat="1"/>
    <xf numFmtId="176" fontId="1" fillId="0" borderId="0" xfId="1" applyNumberFormat="1">
      <alignment vertical="center"/>
    </xf>
    <xf numFmtId="176" fontId="1" fillId="2" borderId="0" xfId="2" applyNumberFormat="1" applyFill="1"/>
    <xf numFmtId="0" fontId="1" fillId="2" borderId="0" xfId="2" applyFill="1"/>
    <xf numFmtId="0" fontId="1" fillId="0" borderId="0" xfId="2"/>
    <xf numFmtId="0" fontId="3" fillId="0" borderId="1" xfId="1" applyFont="1" applyBorder="1" applyAlignment="1">
      <alignment horizontal="center"/>
    </xf>
    <xf numFmtId="177" fontId="1" fillId="3" borderId="2" xfId="2" applyNumberFormat="1" applyFill="1" applyBorder="1" applyAlignment="1">
      <alignment wrapText="1"/>
    </xf>
    <xf numFmtId="9" fontId="3" fillId="0" borderId="1" xfId="2" applyNumberFormat="1" applyFont="1" applyBorder="1" applyAlignment="1">
      <alignment horizontal="center" wrapText="1"/>
    </xf>
    <xf numFmtId="9" fontId="3" fillId="0" borderId="0" xfId="2" applyNumberFormat="1" applyFont="1" applyAlignment="1">
      <alignment horizontal="center" wrapText="1"/>
    </xf>
    <xf numFmtId="9" fontId="3" fillId="2" borderId="1" xfId="2" applyNumberFormat="1" applyFont="1" applyFill="1" applyBorder="1" applyAlignment="1">
      <alignment horizontal="center" wrapText="1"/>
    </xf>
    <xf numFmtId="0" fontId="1" fillId="0" borderId="4" xfId="1" applyBorder="1" applyAlignment="1"/>
    <xf numFmtId="0" fontId="1" fillId="0" borderId="4" xfId="1" applyBorder="1" applyAlignment="1">
      <alignment horizontal="center"/>
    </xf>
    <xf numFmtId="0" fontId="7" fillId="0" borderId="5" xfId="2" applyFont="1" applyBorder="1"/>
    <xf numFmtId="1" fontId="1" fillId="0" borderId="4" xfId="1" applyNumberFormat="1" applyBorder="1" applyAlignment="1"/>
    <xf numFmtId="1" fontId="1" fillId="3" borderId="2" xfId="2" applyNumberFormat="1" applyFill="1" applyBorder="1" applyAlignment="1">
      <alignment wrapText="1"/>
    </xf>
    <xf numFmtId="178" fontId="1" fillId="3" borderId="2" xfId="2" applyNumberFormat="1" applyFill="1" applyBorder="1" applyAlignment="1">
      <alignment wrapText="1"/>
    </xf>
    <xf numFmtId="2" fontId="1" fillId="0" borderId="0" xfId="2" applyNumberFormat="1"/>
    <xf numFmtId="1" fontId="1" fillId="0" borderId="0" xfId="2" applyNumberFormat="1"/>
    <xf numFmtId="0" fontId="1" fillId="0" borderId="6" xfId="1" applyBorder="1" applyAlignment="1"/>
    <xf numFmtId="0" fontId="1" fillId="0" borderId="6" xfId="1" applyBorder="1" applyAlignment="1">
      <alignment horizontal="center"/>
    </xf>
    <xf numFmtId="0" fontId="7" fillId="0" borderId="7" xfId="2" applyFont="1" applyBorder="1"/>
    <xf numFmtId="1" fontId="1" fillId="0" borderId="6" xfId="1" applyNumberFormat="1" applyBorder="1" applyAlignment="1"/>
    <xf numFmtId="0" fontId="1" fillId="0" borderId="8" xfId="1" applyBorder="1" applyAlignment="1"/>
    <xf numFmtId="0" fontId="1" fillId="0" borderId="8" xfId="1" applyBorder="1" applyAlignment="1">
      <alignment horizontal="center"/>
    </xf>
    <xf numFmtId="0" fontId="7" fillId="0" borderId="9" xfId="2" applyFont="1" applyBorder="1"/>
    <xf numFmtId="1" fontId="1" fillId="0" borderId="8" xfId="1" applyNumberFormat="1" applyBorder="1" applyAlignment="1"/>
    <xf numFmtId="0" fontId="1" fillId="0" borderId="10" xfId="1" applyBorder="1" applyAlignment="1"/>
    <xf numFmtId="0" fontId="1" fillId="0" borderId="10" xfId="1" applyBorder="1" applyAlignment="1">
      <alignment horizontal="center"/>
    </xf>
    <xf numFmtId="0" fontId="7" fillId="0" borderId="11" xfId="2" applyFont="1" applyBorder="1"/>
    <xf numFmtId="1" fontId="1" fillId="0" borderId="10" xfId="1" applyNumberFormat="1" applyBorder="1" applyAlignment="1"/>
    <xf numFmtId="1" fontId="1" fillId="3" borderId="12" xfId="2" applyNumberFormat="1" applyFill="1" applyBorder="1" applyAlignment="1">
      <alignment wrapText="1"/>
    </xf>
    <xf numFmtId="179" fontId="1" fillId="3" borderId="12" xfId="2" applyNumberFormat="1" applyFill="1" applyBorder="1" applyAlignment="1">
      <alignment wrapText="1"/>
    </xf>
    <xf numFmtId="178" fontId="1" fillId="0" borderId="0" xfId="2" applyNumberFormat="1"/>
    <xf numFmtId="1" fontId="8" fillId="3" borderId="2" xfId="2" applyNumberFormat="1" applyFont="1" applyFill="1" applyBorder="1" applyAlignment="1">
      <alignment wrapText="1"/>
    </xf>
    <xf numFmtId="0" fontId="9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1" fontId="8" fillId="3" borderId="12" xfId="2" applyNumberFormat="1" applyFont="1" applyFill="1" applyBorder="1" applyAlignment="1">
      <alignment horizontal="right" wrapText="1"/>
    </xf>
    <xf numFmtId="0" fontId="1" fillId="0" borderId="0" xfId="1" applyAlignment="1"/>
    <xf numFmtId="0" fontId="0" fillId="0" borderId="0" xfId="0" applyAlignment="1">
      <alignment horizontal="left"/>
    </xf>
    <xf numFmtId="0" fontId="1" fillId="0" borderId="8" xfId="1" applyBorder="1" applyAlignment="1">
      <alignment horizontal="left"/>
    </xf>
    <xf numFmtId="0" fontId="0" fillId="0" borderId="0" xfId="0" applyAlignment="1">
      <alignment horizontal="left" vertical="center"/>
    </xf>
    <xf numFmtId="0" fontId="3" fillId="0" borderId="1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0" borderId="6" xfId="1" applyBorder="1" applyAlignment="1">
      <alignment horizontal="left"/>
    </xf>
    <xf numFmtId="0" fontId="1" fillId="0" borderId="10" xfId="1" applyBorder="1" applyAlignment="1">
      <alignment horizontal="left"/>
    </xf>
    <xf numFmtId="0" fontId="9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1" fontId="10" fillId="3" borderId="2" xfId="2" applyNumberFormat="1" applyFont="1" applyFill="1" applyBorder="1" applyAlignment="1">
      <alignment wrapText="1"/>
    </xf>
    <xf numFmtId="1" fontId="8" fillId="3" borderId="12" xfId="2" applyNumberFormat="1" applyFont="1" applyFill="1" applyBorder="1" applyAlignment="1">
      <alignment wrapText="1"/>
    </xf>
    <xf numFmtId="1" fontId="1" fillId="3" borderId="2" xfId="2" applyNumberFormat="1" applyFill="1" applyBorder="1" applyAlignment="1">
      <alignment horizontal="right" wrapText="1"/>
    </xf>
    <xf numFmtId="0" fontId="1" fillId="2" borderId="3" xfId="2" applyFill="1" applyBorder="1" applyAlignment="1">
      <alignment horizontal="center"/>
    </xf>
  </cellXfs>
  <cellStyles count="3">
    <cellStyle name="一般" xfId="0" builtinId="0"/>
    <cellStyle name="一般 2 2" xfId="2" xr:uid="{F744962A-BBDE-4CC0-92EE-30FD57EAB0AF}"/>
    <cellStyle name="一般_Ann" xfId="1" xr:uid="{5BB4551F-484D-469F-813D-A42AB3A984D4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4AF3-9639-4E5E-A9F3-7AC49C6F6247}">
  <sheetPr>
    <pageSetUpPr fitToPage="1"/>
  </sheetPr>
  <dimension ref="A1:X54"/>
  <sheetViews>
    <sheetView tabSelected="1" zoomScale="108" zoomScaleNormal="108" workbookViewId="0">
      <pane xSplit="5" ySplit="3" topLeftCell="F4" activePane="bottomRight" state="frozenSplit"/>
      <selection pane="topRight" activeCell="G1" sqref="G1"/>
      <selection pane="bottomLeft" activeCell="A11" sqref="A11"/>
      <selection pane="bottomRight" activeCell="N17" sqref="N17"/>
    </sheetView>
  </sheetViews>
  <sheetFormatPr defaultColWidth="9" defaultRowHeight="17.25" customHeight="1" x14ac:dyDescent="0.3"/>
  <cols>
    <col min="1" max="1" width="3.77734375" style="1" bestFit="1" customWidth="1"/>
    <col min="2" max="2" width="19.77734375" style="1" customWidth="1"/>
    <col min="3" max="4" width="10.6640625" style="1" bestFit="1" customWidth="1"/>
    <col min="5" max="5" width="5.33203125" style="1" customWidth="1"/>
    <col min="6" max="6" width="6" style="1" bestFit="1" customWidth="1"/>
    <col min="7" max="7" width="7.109375" style="1" bestFit="1" customWidth="1"/>
    <col min="8" max="10" width="5.77734375" style="6" bestFit="1" customWidth="1"/>
    <col min="11" max="11" width="6.5546875" style="6" bestFit="1" customWidth="1"/>
    <col min="12" max="12" width="5.77734375" style="6" bestFit="1" customWidth="1"/>
    <col min="13" max="13" width="6.5546875" style="6" bestFit="1" customWidth="1"/>
    <col min="14" max="14" width="5.77734375" style="6" bestFit="1" customWidth="1"/>
    <col min="15" max="15" width="7.21875" style="6" bestFit="1" customWidth="1"/>
    <col min="16" max="16" width="7" style="6" bestFit="1" customWidth="1"/>
    <col min="17" max="17" width="8.109375" style="6" customWidth="1"/>
    <col min="18" max="23" width="5.21875" style="6" hidden="1" customWidth="1"/>
    <col min="24" max="24" width="5.77734375" style="6" hidden="1" customWidth="1"/>
    <col min="25" max="16384" width="9" style="6"/>
  </cols>
  <sheetData>
    <row r="1" spans="1:24" ht="17.25" customHeight="1" thickBot="1" x14ac:dyDescent="0.35">
      <c r="H1" s="2">
        <v>0.05</v>
      </c>
      <c r="I1" s="2">
        <v>0.06</v>
      </c>
      <c r="J1" s="2">
        <v>0.09</v>
      </c>
      <c r="K1" s="2">
        <v>0.09</v>
      </c>
      <c r="L1" s="2">
        <v>0.09</v>
      </c>
      <c r="M1" s="2">
        <v>0.09</v>
      </c>
      <c r="N1" s="2">
        <v>0.03</v>
      </c>
      <c r="O1" s="2">
        <v>0.25</v>
      </c>
      <c r="P1" s="2">
        <v>0.25</v>
      </c>
      <c r="Q1" s="3">
        <f>SUM(H1:P1)</f>
        <v>1</v>
      </c>
      <c r="R1" s="4"/>
      <c r="S1" s="5"/>
      <c r="T1" s="5"/>
      <c r="U1" s="5"/>
      <c r="V1" s="5"/>
      <c r="W1" s="5"/>
      <c r="X1" s="5"/>
    </row>
    <row r="2" spans="1:24" ht="16.8" thickBot="1" x14ac:dyDescent="0.35">
      <c r="G2" s="7" t="s">
        <v>0</v>
      </c>
      <c r="H2" s="8"/>
      <c r="I2" s="8"/>
      <c r="J2" s="8"/>
      <c r="K2" s="8"/>
      <c r="L2" s="8"/>
      <c r="M2" s="8"/>
      <c r="N2" s="8"/>
      <c r="O2" s="8"/>
      <c r="P2" s="8"/>
      <c r="R2" s="52" t="s">
        <v>1</v>
      </c>
      <c r="S2" s="52"/>
      <c r="T2" s="52"/>
      <c r="U2" s="52"/>
      <c r="V2" s="52"/>
      <c r="W2" s="52"/>
      <c r="X2" s="52"/>
    </row>
    <row r="3" spans="1:24" ht="16.8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10" t="s">
        <v>18</v>
      </c>
      <c r="R3" s="11" t="s">
        <v>9</v>
      </c>
      <c r="S3" s="11" t="s">
        <v>19</v>
      </c>
      <c r="T3" s="11" t="s">
        <v>11</v>
      </c>
      <c r="U3" s="11" t="s">
        <v>20</v>
      </c>
      <c r="V3" s="11" t="s">
        <v>21</v>
      </c>
      <c r="W3" s="11" t="s">
        <v>22</v>
      </c>
      <c r="X3" s="11" t="s">
        <v>15</v>
      </c>
    </row>
    <row r="4" spans="1:24" ht="17.25" customHeight="1" x14ac:dyDescent="0.3">
      <c r="A4" s="12">
        <v>1</v>
      </c>
      <c r="B4" s="12" t="s">
        <v>23</v>
      </c>
      <c r="C4" s="12">
        <v>110611065</v>
      </c>
      <c r="D4" s="12" t="s">
        <v>25</v>
      </c>
      <c r="E4" s="13"/>
      <c r="F4" s="14" t="s">
        <v>26</v>
      </c>
      <c r="G4" s="15"/>
      <c r="H4" s="16">
        <v>100</v>
      </c>
      <c r="I4" s="16">
        <v>90</v>
      </c>
      <c r="J4" s="16">
        <v>100</v>
      </c>
      <c r="K4" s="16">
        <v>100</v>
      </c>
      <c r="L4" s="16">
        <v>90</v>
      </c>
      <c r="M4" s="16"/>
      <c r="N4" s="16"/>
      <c r="O4" s="17"/>
      <c r="P4" s="16"/>
      <c r="Q4" s="18">
        <f t="shared" ref="Q4:Q49" si="0">ROUNDUP(SUMPRODUCT(H$1:P$1*H4:P4),0)</f>
        <v>37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</row>
    <row r="5" spans="1:24" ht="17.25" customHeight="1" x14ac:dyDescent="0.3">
      <c r="A5" s="20">
        <v>2</v>
      </c>
      <c r="B5" s="20" t="s">
        <v>27</v>
      </c>
      <c r="C5" s="20">
        <v>110701033</v>
      </c>
      <c r="D5" s="20" t="s">
        <v>29</v>
      </c>
      <c r="E5" s="21"/>
      <c r="F5" s="22" t="s">
        <v>26</v>
      </c>
      <c r="G5" s="23"/>
      <c r="H5" s="16">
        <v>100</v>
      </c>
      <c r="I5" s="16">
        <v>90</v>
      </c>
      <c r="J5" s="16">
        <v>100</v>
      </c>
      <c r="K5" s="16">
        <v>100</v>
      </c>
      <c r="L5" s="16">
        <v>100</v>
      </c>
      <c r="M5" s="16"/>
      <c r="N5" s="16"/>
      <c r="O5" s="17"/>
      <c r="P5" s="16"/>
      <c r="Q5" s="18">
        <f t="shared" si="0"/>
        <v>38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</row>
    <row r="6" spans="1:24" ht="17.25" customHeight="1" x14ac:dyDescent="0.3">
      <c r="A6" s="24">
        <v>3</v>
      </c>
      <c r="B6" s="24" t="s">
        <v>30</v>
      </c>
      <c r="C6" s="24">
        <v>110705053</v>
      </c>
      <c r="D6" s="24" t="s">
        <v>32</v>
      </c>
      <c r="E6" s="25"/>
      <c r="F6" s="26" t="s">
        <v>26</v>
      </c>
      <c r="G6" s="27"/>
      <c r="H6" s="16">
        <v>100</v>
      </c>
      <c r="I6" s="16">
        <v>100</v>
      </c>
      <c r="J6" s="16">
        <v>100</v>
      </c>
      <c r="K6" s="16">
        <v>100</v>
      </c>
      <c r="L6" s="16">
        <v>100</v>
      </c>
      <c r="M6" s="16"/>
      <c r="N6" s="16"/>
      <c r="O6" s="17"/>
      <c r="P6" s="16"/>
      <c r="Q6" s="18">
        <f t="shared" si="0"/>
        <v>38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</row>
    <row r="7" spans="1:24" ht="17.25" customHeight="1" x14ac:dyDescent="0.3">
      <c r="A7" s="20">
        <v>4</v>
      </c>
      <c r="B7" s="20" t="s">
        <v>33</v>
      </c>
      <c r="C7" s="20">
        <v>111651021</v>
      </c>
      <c r="D7" s="20" t="s">
        <v>35</v>
      </c>
      <c r="E7" s="21"/>
      <c r="F7" s="22" t="s">
        <v>26</v>
      </c>
      <c r="G7" s="23"/>
      <c r="H7" s="16">
        <v>100</v>
      </c>
      <c r="I7" s="16">
        <v>90</v>
      </c>
      <c r="J7" s="16">
        <v>100</v>
      </c>
      <c r="K7" s="16">
        <v>100</v>
      </c>
      <c r="L7" s="16">
        <v>85</v>
      </c>
      <c r="M7" s="16"/>
      <c r="N7" s="16"/>
      <c r="O7" s="17"/>
      <c r="P7" s="16"/>
      <c r="Q7" s="18">
        <f t="shared" si="0"/>
        <v>37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</row>
    <row r="8" spans="1:24" ht="17.25" customHeight="1" x14ac:dyDescent="0.3">
      <c r="A8" s="28">
        <v>5</v>
      </c>
      <c r="B8" s="28" t="s">
        <v>36</v>
      </c>
      <c r="C8" s="28">
        <v>111652025</v>
      </c>
      <c r="D8" s="28" t="s">
        <v>38</v>
      </c>
      <c r="E8" s="29"/>
      <c r="F8" s="30" t="s">
        <v>26</v>
      </c>
      <c r="G8" s="31"/>
      <c r="H8" s="32">
        <v>100</v>
      </c>
      <c r="I8" s="32">
        <v>90</v>
      </c>
      <c r="J8" s="32">
        <v>100</v>
      </c>
      <c r="K8" s="32">
        <v>100</v>
      </c>
      <c r="L8" s="32">
        <v>100</v>
      </c>
      <c r="M8" s="32"/>
      <c r="N8" s="16"/>
      <c r="O8" s="17"/>
      <c r="P8" s="33"/>
      <c r="Q8" s="18">
        <f t="shared" si="0"/>
        <v>38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</row>
    <row r="9" spans="1:24" ht="17.25" customHeight="1" x14ac:dyDescent="0.3">
      <c r="A9" s="12">
        <v>6</v>
      </c>
      <c r="B9" s="12" t="s">
        <v>39</v>
      </c>
      <c r="C9" s="12">
        <v>111654029</v>
      </c>
      <c r="D9" s="12" t="s">
        <v>41</v>
      </c>
      <c r="E9" s="13"/>
      <c r="F9" s="14" t="s">
        <v>26</v>
      </c>
      <c r="G9" s="15"/>
      <c r="H9" s="16">
        <v>100</v>
      </c>
      <c r="I9" s="16">
        <v>98</v>
      </c>
      <c r="J9" s="16">
        <v>95</v>
      </c>
      <c r="K9" s="16">
        <v>95</v>
      </c>
      <c r="L9" s="16">
        <v>100</v>
      </c>
      <c r="M9" s="16"/>
      <c r="N9" s="16"/>
      <c r="O9" s="17"/>
      <c r="P9" s="16"/>
      <c r="Q9" s="18">
        <f t="shared" si="0"/>
        <v>37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</row>
    <row r="10" spans="1:24" ht="17.25" customHeight="1" x14ac:dyDescent="0.3">
      <c r="A10" s="20">
        <v>7</v>
      </c>
      <c r="B10" s="20" t="s">
        <v>42</v>
      </c>
      <c r="C10" s="20">
        <v>111700007</v>
      </c>
      <c r="D10" s="20" t="s">
        <v>44</v>
      </c>
      <c r="E10" s="21"/>
      <c r="F10" s="22" t="s">
        <v>26</v>
      </c>
      <c r="G10" s="23"/>
      <c r="H10" s="16">
        <v>100</v>
      </c>
      <c r="I10" s="49">
        <v>0</v>
      </c>
      <c r="J10" s="16">
        <v>100</v>
      </c>
      <c r="K10" s="16">
        <v>100</v>
      </c>
      <c r="L10" s="16">
        <v>90</v>
      </c>
      <c r="M10" s="16"/>
      <c r="N10" s="16"/>
      <c r="O10" s="17"/>
      <c r="P10" s="16"/>
      <c r="Q10" s="18">
        <f t="shared" si="0"/>
        <v>32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</row>
    <row r="11" spans="1:24" ht="17.25" customHeight="1" x14ac:dyDescent="0.3">
      <c r="A11" s="24">
        <v>8</v>
      </c>
      <c r="B11" s="24" t="s">
        <v>27</v>
      </c>
      <c r="C11" s="24">
        <v>111701035</v>
      </c>
      <c r="D11" s="24" t="s">
        <v>45</v>
      </c>
      <c r="E11" s="25"/>
      <c r="F11" s="26" t="s">
        <v>26</v>
      </c>
      <c r="G11" s="27"/>
      <c r="H11" s="51">
        <v>65</v>
      </c>
      <c r="I11" s="16">
        <v>100</v>
      </c>
      <c r="J11" s="16">
        <v>100</v>
      </c>
      <c r="K11" s="16">
        <v>100</v>
      </c>
      <c r="L11" s="16">
        <v>100</v>
      </c>
      <c r="M11" s="16"/>
      <c r="N11" s="16"/>
      <c r="O11" s="17"/>
      <c r="P11" s="16"/>
      <c r="Q11" s="18">
        <f t="shared" si="0"/>
        <v>37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</row>
    <row r="12" spans="1:24" ht="17.25" customHeight="1" x14ac:dyDescent="0.3">
      <c r="A12" s="20">
        <v>9</v>
      </c>
      <c r="B12" s="20" t="s">
        <v>46</v>
      </c>
      <c r="C12" s="20">
        <v>111704011</v>
      </c>
      <c r="D12" s="20" t="s">
        <v>48</v>
      </c>
      <c r="E12" s="21"/>
      <c r="F12" s="22" t="s">
        <v>26</v>
      </c>
      <c r="G12" s="23"/>
      <c r="H12" s="16">
        <v>100</v>
      </c>
      <c r="I12" s="16">
        <v>90</v>
      </c>
      <c r="J12" s="16">
        <v>100</v>
      </c>
      <c r="K12" s="16">
        <v>100</v>
      </c>
      <c r="L12" s="16">
        <v>100</v>
      </c>
      <c r="M12" s="16"/>
      <c r="N12" s="16"/>
      <c r="O12" s="17"/>
      <c r="P12" s="16"/>
      <c r="Q12" s="18">
        <f t="shared" si="0"/>
        <v>38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</row>
    <row r="13" spans="1:24" ht="17.25" customHeight="1" x14ac:dyDescent="0.3">
      <c r="A13" s="28">
        <v>10</v>
      </c>
      <c r="B13" s="28" t="s">
        <v>49</v>
      </c>
      <c r="C13" s="28">
        <v>111950009</v>
      </c>
      <c r="D13" s="28" t="s">
        <v>51</v>
      </c>
      <c r="E13" s="29"/>
      <c r="F13" s="30" t="s">
        <v>26</v>
      </c>
      <c r="G13" s="31"/>
      <c r="H13" s="38">
        <v>0</v>
      </c>
      <c r="I13" s="32">
        <v>100</v>
      </c>
      <c r="J13" s="50">
        <v>0</v>
      </c>
      <c r="K13" s="50">
        <v>0</v>
      </c>
      <c r="L13" s="50">
        <v>0</v>
      </c>
      <c r="M13" s="32"/>
      <c r="N13" s="16"/>
      <c r="O13" s="17"/>
      <c r="P13" s="33"/>
      <c r="Q13" s="18">
        <f t="shared" si="0"/>
        <v>6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</row>
    <row r="14" spans="1:24" ht="17.25" customHeight="1" x14ac:dyDescent="0.3">
      <c r="A14" s="12">
        <v>11</v>
      </c>
      <c r="B14" s="12" t="s">
        <v>52</v>
      </c>
      <c r="C14" s="12">
        <v>112350014</v>
      </c>
      <c r="D14" s="12" t="s">
        <v>54</v>
      </c>
      <c r="E14" s="13"/>
      <c r="F14" s="14" t="s">
        <v>55</v>
      </c>
      <c r="G14" s="15"/>
      <c r="H14" s="16">
        <v>100</v>
      </c>
      <c r="I14" s="16">
        <v>90</v>
      </c>
      <c r="J14" s="16">
        <v>100</v>
      </c>
      <c r="K14" s="35">
        <v>0</v>
      </c>
      <c r="L14" s="16">
        <v>100</v>
      </c>
      <c r="M14" s="16"/>
      <c r="N14" s="16"/>
      <c r="O14" s="17"/>
      <c r="P14" s="16"/>
      <c r="Q14" s="18">
        <f t="shared" si="0"/>
        <v>29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</row>
    <row r="15" spans="1:24" ht="17.25" customHeight="1" x14ac:dyDescent="0.3">
      <c r="A15" s="20">
        <v>12</v>
      </c>
      <c r="B15" s="20" t="s">
        <v>52</v>
      </c>
      <c r="C15" s="20">
        <v>112350020</v>
      </c>
      <c r="D15" s="20" t="s">
        <v>57</v>
      </c>
      <c r="E15" s="21"/>
      <c r="F15" s="22" t="s">
        <v>55</v>
      </c>
      <c r="G15" s="23"/>
      <c r="H15" s="16">
        <v>100</v>
      </c>
      <c r="I15" s="16">
        <v>90</v>
      </c>
      <c r="J15" s="16">
        <v>100</v>
      </c>
      <c r="K15" s="16">
        <v>100</v>
      </c>
      <c r="L15" s="16">
        <v>100</v>
      </c>
      <c r="M15" s="16"/>
      <c r="N15" s="16"/>
      <c r="O15" s="17"/>
      <c r="P15" s="16"/>
      <c r="Q15" s="18">
        <f t="shared" si="0"/>
        <v>38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</row>
    <row r="16" spans="1:24" ht="17.25" customHeight="1" x14ac:dyDescent="0.3">
      <c r="A16" s="24">
        <v>13</v>
      </c>
      <c r="B16" s="24" t="s">
        <v>58</v>
      </c>
      <c r="C16" s="24">
        <v>112350045</v>
      </c>
      <c r="D16" s="24" t="s">
        <v>60</v>
      </c>
      <c r="E16" s="25"/>
      <c r="F16" s="26" t="s">
        <v>55</v>
      </c>
      <c r="G16" s="27"/>
      <c r="H16" s="16">
        <v>100</v>
      </c>
      <c r="I16" s="16">
        <v>90</v>
      </c>
      <c r="J16" s="16">
        <v>80</v>
      </c>
      <c r="K16" s="16">
        <v>100</v>
      </c>
      <c r="L16" s="16">
        <v>90</v>
      </c>
      <c r="M16" s="16"/>
      <c r="N16" s="16"/>
      <c r="O16" s="17"/>
      <c r="P16" s="16"/>
      <c r="Q16" s="18">
        <f t="shared" si="0"/>
        <v>35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</row>
    <row r="17" spans="1:24" ht="17.25" customHeight="1" x14ac:dyDescent="0.3">
      <c r="A17" s="20">
        <v>14</v>
      </c>
      <c r="B17" s="20" t="s">
        <v>58</v>
      </c>
      <c r="C17" s="20">
        <v>112350079</v>
      </c>
      <c r="D17" s="20" t="s">
        <v>62</v>
      </c>
      <c r="E17" s="21"/>
      <c r="F17" s="22" t="s">
        <v>55</v>
      </c>
      <c r="G17" s="23"/>
      <c r="H17" s="16">
        <v>100</v>
      </c>
      <c r="I17" s="16">
        <v>90</v>
      </c>
      <c r="J17" s="16">
        <v>100</v>
      </c>
      <c r="K17" s="16">
        <v>100</v>
      </c>
      <c r="L17" s="16">
        <v>80</v>
      </c>
      <c r="M17" s="16"/>
      <c r="N17" s="16"/>
      <c r="O17" s="17"/>
      <c r="P17" s="16"/>
      <c r="Q17" s="18">
        <f t="shared" si="0"/>
        <v>36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</row>
    <row r="18" spans="1:24" ht="17.25" customHeight="1" x14ac:dyDescent="0.3">
      <c r="A18" s="28">
        <v>15</v>
      </c>
      <c r="B18" s="28" t="s">
        <v>63</v>
      </c>
      <c r="C18" s="28">
        <v>112611024</v>
      </c>
      <c r="D18" s="28" t="s">
        <v>65</v>
      </c>
      <c r="E18" s="29"/>
      <c r="F18" s="30" t="s">
        <v>55</v>
      </c>
      <c r="G18" s="31"/>
      <c r="H18" s="32">
        <v>100</v>
      </c>
      <c r="I18" s="32">
        <v>100</v>
      </c>
      <c r="J18" s="32">
        <v>100</v>
      </c>
      <c r="K18" s="32">
        <v>100</v>
      </c>
      <c r="L18" s="32">
        <v>90</v>
      </c>
      <c r="M18" s="32"/>
      <c r="N18" s="16"/>
      <c r="O18" s="17"/>
      <c r="P18" s="33"/>
      <c r="Q18" s="18">
        <f t="shared" si="0"/>
        <v>38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</row>
    <row r="19" spans="1:24" ht="17.25" customHeight="1" x14ac:dyDescent="0.3">
      <c r="A19" s="12">
        <v>16</v>
      </c>
      <c r="B19" s="12" t="s">
        <v>66</v>
      </c>
      <c r="C19" s="12">
        <v>112611049</v>
      </c>
      <c r="D19" s="12" t="s">
        <v>68</v>
      </c>
      <c r="E19" s="13"/>
      <c r="F19" s="14" t="s">
        <v>55</v>
      </c>
      <c r="G19" s="15"/>
      <c r="H19" s="16">
        <v>100</v>
      </c>
      <c r="I19" s="16">
        <v>90</v>
      </c>
      <c r="J19" s="16">
        <v>95</v>
      </c>
      <c r="K19" s="16">
        <v>100</v>
      </c>
      <c r="L19" s="16">
        <v>100</v>
      </c>
      <c r="M19" s="16"/>
      <c r="N19" s="16"/>
      <c r="O19" s="17"/>
      <c r="P19" s="16"/>
      <c r="Q19" s="18">
        <f t="shared" si="0"/>
        <v>37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</row>
    <row r="20" spans="1:24" ht="17.25" customHeight="1" x14ac:dyDescent="0.3">
      <c r="A20" s="20">
        <v>17</v>
      </c>
      <c r="B20" s="20" t="s">
        <v>69</v>
      </c>
      <c r="C20" s="20">
        <v>112613017</v>
      </c>
      <c r="D20" s="20" t="s">
        <v>71</v>
      </c>
      <c r="E20" s="21"/>
      <c r="F20" s="22" t="s">
        <v>55</v>
      </c>
      <c r="G20" s="23"/>
      <c r="H20" s="16">
        <v>100</v>
      </c>
      <c r="I20" s="16">
        <v>90</v>
      </c>
      <c r="J20" s="16">
        <v>100</v>
      </c>
      <c r="K20" s="16">
        <v>100</v>
      </c>
      <c r="L20" s="16">
        <v>90</v>
      </c>
      <c r="M20" s="16"/>
      <c r="N20" s="16"/>
      <c r="O20" s="17"/>
      <c r="P20" s="16"/>
      <c r="Q20" s="18">
        <f t="shared" si="0"/>
        <v>37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</row>
    <row r="21" spans="1:24" ht="17.25" customHeight="1" x14ac:dyDescent="0.3">
      <c r="A21" s="24">
        <v>18</v>
      </c>
      <c r="B21" s="24" t="s">
        <v>69</v>
      </c>
      <c r="C21" s="24">
        <v>112613037</v>
      </c>
      <c r="D21" s="24" t="s">
        <v>73</v>
      </c>
      <c r="E21" s="25"/>
      <c r="F21" s="26" t="s">
        <v>55</v>
      </c>
      <c r="G21" s="27"/>
      <c r="H21" s="16">
        <v>100</v>
      </c>
      <c r="I21" s="16">
        <v>88</v>
      </c>
      <c r="J21" s="16">
        <v>95</v>
      </c>
      <c r="K21" s="16">
        <v>100</v>
      </c>
      <c r="L21" s="16">
        <v>90</v>
      </c>
      <c r="M21" s="16"/>
      <c r="N21" s="16"/>
      <c r="O21" s="17"/>
      <c r="P21" s="16"/>
      <c r="Q21" s="18">
        <f t="shared" si="0"/>
        <v>36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</row>
    <row r="22" spans="1:24" ht="17.25" customHeight="1" x14ac:dyDescent="0.3">
      <c r="A22" s="20">
        <v>19</v>
      </c>
      <c r="B22" s="20" t="s">
        <v>74</v>
      </c>
      <c r="C22" s="20">
        <v>112700038</v>
      </c>
      <c r="D22" s="20" t="s">
        <v>76</v>
      </c>
      <c r="E22" s="21"/>
      <c r="F22" s="22" t="s">
        <v>55</v>
      </c>
      <c r="G22" s="23"/>
      <c r="H22" s="35">
        <v>0</v>
      </c>
      <c r="I22" s="49">
        <v>0</v>
      </c>
      <c r="J22" s="16">
        <v>100</v>
      </c>
      <c r="K22" s="16">
        <v>100</v>
      </c>
      <c r="L22" s="16">
        <v>90</v>
      </c>
      <c r="M22" s="16"/>
      <c r="N22" s="16"/>
      <c r="O22" s="17"/>
      <c r="P22" s="16"/>
      <c r="Q22" s="18">
        <f t="shared" si="0"/>
        <v>27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</row>
    <row r="23" spans="1:24" ht="17.25" customHeight="1" x14ac:dyDescent="0.3">
      <c r="A23" s="28">
        <v>20</v>
      </c>
      <c r="B23" s="28" t="s">
        <v>77</v>
      </c>
      <c r="C23" s="28">
        <v>112705016</v>
      </c>
      <c r="D23" s="28" t="s">
        <v>79</v>
      </c>
      <c r="E23" s="29"/>
      <c r="F23" s="30" t="s">
        <v>55</v>
      </c>
      <c r="G23" s="31"/>
      <c r="H23" s="32">
        <v>100</v>
      </c>
      <c r="I23" s="32">
        <v>98</v>
      </c>
      <c r="J23" s="32">
        <v>100</v>
      </c>
      <c r="K23" s="32">
        <v>100</v>
      </c>
      <c r="L23" s="32">
        <v>100</v>
      </c>
      <c r="M23" s="32"/>
      <c r="N23" s="16"/>
      <c r="O23" s="17"/>
      <c r="P23" s="33"/>
      <c r="Q23" s="18">
        <f t="shared" si="0"/>
        <v>38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</row>
    <row r="24" spans="1:24" ht="17.25" customHeight="1" x14ac:dyDescent="0.3">
      <c r="A24" s="12">
        <v>21</v>
      </c>
      <c r="B24" s="12" t="s">
        <v>80</v>
      </c>
      <c r="C24" s="12">
        <v>112705076</v>
      </c>
      <c r="D24" s="12" t="s">
        <v>82</v>
      </c>
      <c r="E24" s="13"/>
      <c r="F24" s="14" t="s">
        <v>55</v>
      </c>
      <c r="G24" s="15"/>
      <c r="H24" s="16">
        <v>100</v>
      </c>
      <c r="I24" s="16">
        <v>85</v>
      </c>
      <c r="J24" s="16">
        <v>100</v>
      </c>
      <c r="K24" s="16">
        <v>95</v>
      </c>
      <c r="L24" s="16">
        <v>80</v>
      </c>
      <c r="M24" s="16"/>
      <c r="N24" s="16"/>
      <c r="O24" s="17"/>
      <c r="P24" s="16"/>
      <c r="Q24" s="18">
        <f t="shared" si="0"/>
        <v>35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</row>
    <row r="25" spans="1:24" ht="17.25" customHeight="1" x14ac:dyDescent="0.3">
      <c r="A25" s="20">
        <v>22</v>
      </c>
      <c r="B25" s="20" t="s">
        <v>83</v>
      </c>
      <c r="C25" s="20">
        <v>113350058</v>
      </c>
      <c r="D25" s="20" t="s">
        <v>85</v>
      </c>
      <c r="E25" s="21"/>
      <c r="F25" s="22" t="s">
        <v>55</v>
      </c>
      <c r="G25" s="23"/>
      <c r="H25" s="16">
        <v>100</v>
      </c>
      <c r="I25" s="16">
        <v>95</v>
      </c>
      <c r="J25" s="16">
        <v>100</v>
      </c>
      <c r="K25" s="16">
        <v>100</v>
      </c>
      <c r="L25" s="16">
        <v>100</v>
      </c>
      <c r="M25" s="16"/>
      <c r="N25" s="16"/>
      <c r="O25" s="17"/>
      <c r="P25" s="16"/>
      <c r="Q25" s="18">
        <f t="shared" si="0"/>
        <v>38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</row>
    <row r="26" spans="1:24" ht="17.25" customHeight="1" x14ac:dyDescent="0.3">
      <c r="A26" s="24">
        <v>23</v>
      </c>
      <c r="B26" s="24" t="s">
        <v>86</v>
      </c>
      <c r="C26" s="24">
        <v>113450014</v>
      </c>
      <c r="D26" s="24" t="s">
        <v>87</v>
      </c>
      <c r="E26" s="25"/>
      <c r="F26" s="26" t="s">
        <v>55</v>
      </c>
      <c r="G26" s="27"/>
      <c r="H26" s="16">
        <v>60</v>
      </c>
      <c r="I26" s="16">
        <v>98</v>
      </c>
      <c r="J26" s="16">
        <v>85</v>
      </c>
      <c r="K26" s="16">
        <v>95</v>
      </c>
      <c r="L26" s="16">
        <v>100</v>
      </c>
      <c r="M26" s="16"/>
      <c r="N26" s="16"/>
      <c r="O26" s="17"/>
      <c r="P26" s="16"/>
      <c r="Q26" s="18">
        <f t="shared" si="0"/>
        <v>35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</row>
    <row r="27" spans="1:24" ht="17.25" customHeight="1" x14ac:dyDescent="0.3">
      <c r="A27" s="20">
        <v>24</v>
      </c>
      <c r="B27" s="20" t="s">
        <v>88</v>
      </c>
      <c r="C27" s="20">
        <v>113611019</v>
      </c>
      <c r="D27" s="20" t="s">
        <v>90</v>
      </c>
      <c r="E27" s="21"/>
      <c r="F27" s="22" t="s">
        <v>55</v>
      </c>
      <c r="G27" s="23"/>
      <c r="H27" s="16">
        <v>100</v>
      </c>
      <c r="I27" s="16">
        <v>98</v>
      </c>
      <c r="J27" s="16">
        <v>95</v>
      </c>
      <c r="K27" s="16">
        <v>85</v>
      </c>
      <c r="L27" s="16">
        <v>90</v>
      </c>
      <c r="M27" s="16"/>
      <c r="N27" s="16"/>
      <c r="O27" s="17"/>
      <c r="P27" s="16"/>
      <c r="Q27" s="18">
        <f t="shared" si="0"/>
        <v>36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</row>
    <row r="28" spans="1:24" ht="17.25" customHeight="1" x14ac:dyDescent="0.3">
      <c r="A28" s="28">
        <v>25</v>
      </c>
      <c r="B28" s="28" t="s">
        <v>88</v>
      </c>
      <c r="C28" s="28">
        <v>113611023</v>
      </c>
      <c r="D28" s="28" t="s">
        <v>92</v>
      </c>
      <c r="E28" s="29"/>
      <c r="F28" s="30" t="s">
        <v>55</v>
      </c>
      <c r="G28" s="31"/>
      <c r="H28" s="32">
        <v>100</v>
      </c>
      <c r="I28" s="32">
        <v>98</v>
      </c>
      <c r="J28" s="32">
        <v>100</v>
      </c>
      <c r="K28" s="32">
        <v>100</v>
      </c>
      <c r="L28" s="32">
        <v>90</v>
      </c>
      <c r="M28" s="32"/>
      <c r="N28" s="16"/>
      <c r="O28" s="17"/>
      <c r="P28" s="33"/>
      <c r="Q28" s="18">
        <f t="shared" si="0"/>
        <v>37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</row>
    <row r="29" spans="1:24" ht="17.25" customHeight="1" x14ac:dyDescent="0.3">
      <c r="A29" s="12">
        <v>26</v>
      </c>
      <c r="B29" s="12" t="s">
        <v>88</v>
      </c>
      <c r="C29" s="12">
        <v>113611027</v>
      </c>
      <c r="D29" s="12" t="s">
        <v>94</v>
      </c>
      <c r="E29" s="13"/>
      <c r="F29" s="14" t="s">
        <v>55</v>
      </c>
      <c r="G29" s="15"/>
      <c r="H29" s="16">
        <v>100</v>
      </c>
      <c r="I29" s="16">
        <v>90</v>
      </c>
      <c r="J29" s="16">
        <v>100</v>
      </c>
      <c r="K29" s="16">
        <v>100</v>
      </c>
      <c r="L29" s="16">
        <v>90</v>
      </c>
      <c r="M29" s="16"/>
      <c r="N29" s="16"/>
      <c r="O29" s="17"/>
      <c r="P29" s="16"/>
      <c r="Q29" s="18">
        <f t="shared" si="0"/>
        <v>37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</row>
    <row r="30" spans="1:24" ht="17.25" customHeight="1" x14ac:dyDescent="0.3">
      <c r="A30" s="20">
        <v>27</v>
      </c>
      <c r="B30" s="20" t="s">
        <v>95</v>
      </c>
      <c r="C30" s="20">
        <v>113611056</v>
      </c>
      <c r="D30" s="20" t="s">
        <v>97</v>
      </c>
      <c r="E30" s="21"/>
      <c r="F30" s="22" t="s">
        <v>55</v>
      </c>
      <c r="G30" s="23"/>
      <c r="H30" s="16">
        <v>100</v>
      </c>
      <c r="I30" s="16">
        <v>98</v>
      </c>
      <c r="J30" s="16">
        <v>100</v>
      </c>
      <c r="K30" s="16">
        <v>95</v>
      </c>
      <c r="L30" s="16">
        <v>85</v>
      </c>
      <c r="M30" s="16"/>
      <c r="N30" s="16"/>
      <c r="O30" s="17"/>
      <c r="P30" s="16"/>
      <c r="Q30" s="18">
        <f t="shared" si="0"/>
        <v>37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</row>
    <row r="31" spans="1:24" ht="17.25" customHeight="1" x14ac:dyDescent="0.3">
      <c r="A31" s="24">
        <v>28</v>
      </c>
      <c r="B31" s="24" t="s">
        <v>88</v>
      </c>
      <c r="C31" s="24">
        <v>113611085</v>
      </c>
      <c r="D31" s="24" t="s">
        <v>99</v>
      </c>
      <c r="E31" s="25"/>
      <c r="F31" s="26" t="s">
        <v>55</v>
      </c>
      <c r="G31" s="27"/>
      <c r="H31" s="16">
        <v>100</v>
      </c>
      <c r="I31" s="16">
        <v>95</v>
      </c>
      <c r="J31" s="16">
        <v>95</v>
      </c>
      <c r="K31" s="16">
        <v>100</v>
      </c>
      <c r="L31" s="16">
        <v>100</v>
      </c>
      <c r="M31" s="16"/>
      <c r="N31" s="16"/>
      <c r="O31" s="17"/>
      <c r="P31" s="16"/>
      <c r="Q31" s="18">
        <f t="shared" si="0"/>
        <v>38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</row>
    <row r="32" spans="1:24" ht="17.25" customHeight="1" x14ac:dyDescent="0.3">
      <c r="A32" s="20">
        <v>29</v>
      </c>
      <c r="B32" s="20" t="s">
        <v>95</v>
      </c>
      <c r="C32" s="20">
        <v>113611108</v>
      </c>
      <c r="D32" s="20" t="s">
        <v>101</v>
      </c>
      <c r="E32" s="21"/>
      <c r="F32" s="22" t="s">
        <v>55</v>
      </c>
      <c r="G32" s="23"/>
      <c r="H32" s="16">
        <v>100</v>
      </c>
      <c r="I32" s="16">
        <v>98</v>
      </c>
      <c r="J32" s="16">
        <v>95</v>
      </c>
      <c r="K32" s="16">
        <v>100</v>
      </c>
      <c r="L32" s="16">
        <v>100</v>
      </c>
      <c r="M32" s="16"/>
      <c r="N32" s="16"/>
      <c r="O32" s="17"/>
      <c r="P32" s="16"/>
      <c r="Q32" s="18">
        <f t="shared" si="0"/>
        <v>38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</row>
    <row r="33" spans="1:24" ht="17.25" customHeight="1" x14ac:dyDescent="0.3">
      <c r="A33" s="28">
        <v>30</v>
      </c>
      <c r="B33" s="28" t="s">
        <v>102</v>
      </c>
      <c r="C33" s="28">
        <v>113701062</v>
      </c>
      <c r="D33" s="28" t="s">
        <v>104</v>
      </c>
      <c r="E33" s="29"/>
      <c r="F33" s="30" t="s">
        <v>55</v>
      </c>
      <c r="G33" s="31"/>
      <c r="H33" s="32">
        <v>100</v>
      </c>
      <c r="I33" s="32">
        <v>98</v>
      </c>
      <c r="J33" s="32">
        <v>100</v>
      </c>
      <c r="K33" s="32">
        <v>100</v>
      </c>
      <c r="L33" s="32">
        <v>90</v>
      </c>
      <c r="M33" s="32"/>
      <c r="N33" s="16"/>
      <c r="O33" s="17"/>
      <c r="P33" s="33"/>
      <c r="Q33" s="18">
        <f t="shared" si="0"/>
        <v>37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</row>
    <row r="34" spans="1:24" ht="17.25" customHeight="1" x14ac:dyDescent="0.3">
      <c r="A34" s="12">
        <v>31</v>
      </c>
      <c r="B34" s="12" t="s">
        <v>105</v>
      </c>
      <c r="C34" s="12">
        <v>113704054</v>
      </c>
      <c r="D34" s="12" t="s">
        <v>107</v>
      </c>
      <c r="E34" s="13"/>
      <c r="F34" s="14" t="s">
        <v>55</v>
      </c>
      <c r="G34" s="15"/>
      <c r="H34" s="16">
        <v>100</v>
      </c>
      <c r="I34" s="16">
        <v>90</v>
      </c>
      <c r="J34" s="16">
        <v>100</v>
      </c>
      <c r="K34" s="16">
        <v>100</v>
      </c>
      <c r="L34" s="16">
        <v>90</v>
      </c>
      <c r="M34" s="16"/>
      <c r="N34" s="16"/>
      <c r="O34" s="17"/>
      <c r="P34" s="16"/>
      <c r="Q34" s="18">
        <f t="shared" si="0"/>
        <v>37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</row>
    <row r="35" spans="1:24" ht="17.25" customHeight="1" x14ac:dyDescent="0.3">
      <c r="A35" s="20">
        <v>32</v>
      </c>
      <c r="B35" s="20" t="s">
        <v>108</v>
      </c>
      <c r="C35" s="20">
        <v>114101109</v>
      </c>
      <c r="D35" s="20" t="s">
        <v>110</v>
      </c>
      <c r="E35" s="21"/>
      <c r="F35" s="22" t="s">
        <v>55</v>
      </c>
      <c r="G35" s="23"/>
      <c r="H35" s="16">
        <v>100</v>
      </c>
      <c r="I35" s="16">
        <v>90</v>
      </c>
      <c r="J35" s="16">
        <v>90</v>
      </c>
      <c r="K35" s="16">
        <v>100</v>
      </c>
      <c r="L35" s="16">
        <v>100</v>
      </c>
      <c r="M35" s="16"/>
      <c r="N35" s="16"/>
      <c r="O35" s="17"/>
      <c r="P35" s="16"/>
      <c r="Q35" s="18">
        <f t="shared" si="0"/>
        <v>37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</row>
    <row r="36" spans="1:24" ht="17.25" customHeight="1" x14ac:dyDescent="0.3">
      <c r="A36" s="24">
        <v>33</v>
      </c>
      <c r="B36" s="24" t="s">
        <v>111</v>
      </c>
      <c r="C36" s="24">
        <v>114150027</v>
      </c>
      <c r="D36" s="24" t="s">
        <v>113</v>
      </c>
      <c r="E36" s="25"/>
      <c r="F36" s="26" t="s">
        <v>55</v>
      </c>
      <c r="G36" s="27"/>
      <c r="H36" s="16">
        <v>100</v>
      </c>
      <c r="I36" s="16">
        <v>95</v>
      </c>
      <c r="J36" s="16">
        <v>100</v>
      </c>
      <c r="K36" s="16">
        <v>100</v>
      </c>
      <c r="L36" s="16">
        <v>95</v>
      </c>
      <c r="M36" s="16"/>
      <c r="N36" s="16"/>
      <c r="O36" s="17"/>
      <c r="P36" s="16"/>
      <c r="Q36" s="18">
        <f t="shared" si="0"/>
        <v>38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</row>
    <row r="37" spans="1:24" ht="17.25" customHeight="1" x14ac:dyDescent="0.3">
      <c r="A37" s="20">
        <v>34</v>
      </c>
      <c r="B37" s="20" t="s">
        <v>114</v>
      </c>
      <c r="C37" s="20">
        <v>114304010</v>
      </c>
      <c r="D37" s="20" t="s">
        <v>116</v>
      </c>
      <c r="E37" s="21"/>
      <c r="F37" s="22" t="s">
        <v>55</v>
      </c>
      <c r="G37" s="23"/>
      <c r="H37" s="16">
        <v>100</v>
      </c>
      <c r="I37" s="16">
        <v>100</v>
      </c>
      <c r="J37" s="16">
        <v>100</v>
      </c>
      <c r="K37" s="16">
        <v>100</v>
      </c>
      <c r="L37" s="16">
        <v>90</v>
      </c>
      <c r="M37" s="16"/>
      <c r="N37" s="16"/>
      <c r="O37" s="17"/>
      <c r="P37" s="16"/>
      <c r="Q37" s="18">
        <f t="shared" si="0"/>
        <v>38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</row>
    <row r="38" spans="1:24" ht="17.25" customHeight="1" x14ac:dyDescent="0.3">
      <c r="A38" s="28">
        <v>35</v>
      </c>
      <c r="B38" s="28" t="s">
        <v>117</v>
      </c>
      <c r="C38" s="28">
        <v>114481030</v>
      </c>
      <c r="D38" s="28" t="s">
        <v>119</v>
      </c>
      <c r="E38" s="29"/>
      <c r="F38" s="30" t="s">
        <v>55</v>
      </c>
      <c r="G38" s="31"/>
      <c r="H38" s="32">
        <v>100</v>
      </c>
      <c r="I38" s="32">
        <v>90</v>
      </c>
      <c r="J38" s="32">
        <v>100</v>
      </c>
      <c r="K38" s="32">
        <v>100</v>
      </c>
      <c r="L38" s="32">
        <v>90</v>
      </c>
      <c r="M38" s="32"/>
      <c r="N38" s="16"/>
      <c r="O38" s="17"/>
      <c r="P38" s="33"/>
      <c r="Q38" s="18">
        <f t="shared" si="0"/>
        <v>37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</row>
    <row r="39" spans="1:24" ht="17.25" customHeight="1" x14ac:dyDescent="0.3">
      <c r="A39" s="12">
        <v>36</v>
      </c>
      <c r="B39" s="12" t="s">
        <v>120</v>
      </c>
      <c r="C39" s="12">
        <v>114483023</v>
      </c>
      <c r="D39" s="12" t="s">
        <v>122</v>
      </c>
      <c r="E39" s="13"/>
      <c r="F39" s="14" t="s">
        <v>55</v>
      </c>
      <c r="G39" s="15"/>
      <c r="H39" s="16">
        <v>100</v>
      </c>
      <c r="I39" s="16">
        <v>90</v>
      </c>
      <c r="J39" s="16">
        <v>100</v>
      </c>
      <c r="K39" s="16">
        <v>95</v>
      </c>
      <c r="L39" s="16">
        <v>90</v>
      </c>
      <c r="M39" s="16"/>
      <c r="N39" s="16"/>
      <c r="O39" s="17"/>
      <c r="P39" s="16"/>
      <c r="Q39" s="18">
        <f t="shared" si="0"/>
        <v>37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</row>
    <row r="40" spans="1:24" ht="17.25" customHeight="1" x14ac:dyDescent="0.3">
      <c r="A40" s="20">
        <v>37</v>
      </c>
      <c r="B40" s="20" t="s">
        <v>123</v>
      </c>
      <c r="C40" s="20">
        <v>114612043</v>
      </c>
      <c r="D40" s="20" t="s">
        <v>125</v>
      </c>
      <c r="E40" s="21"/>
      <c r="F40" s="22" t="s">
        <v>55</v>
      </c>
      <c r="G40" s="23"/>
      <c r="H40" s="16">
        <v>100</v>
      </c>
      <c r="I40" s="16">
        <v>90</v>
      </c>
      <c r="J40" s="16">
        <v>100</v>
      </c>
      <c r="K40" s="16">
        <v>100</v>
      </c>
      <c r="L40" s="16">
        <v>90</v>
      </c>
      <c r="M40" s="16"/>
      <c r="N40" s="16"/>
      <c r="O40" s="17"/>
      <c r="P40" s="16"/>
      <c r="Q40" s="18">
        <f t="shared" si="0"/>
        <v>37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</row>
    <row r="41" spans="1:24" ht="17.25" customHeight="1" x14ac:dyDescent="0.3">
      <c r="A41" s="24">
        <v>38</v>
      </c>
      <c r="B41" s="24" t="s">
        <v>123</v>
      </c>
      <c r="C41" s="24">
        <v>114612045</v>
      </c>
      <c r="D41" s="24" t="s">
        <v>127</v>
      </c>
      <c r="E41" s="25"/>
      <c r="F41" s="26" t="s">
        <v>55</v>
      </c>
      <c r="G41" s="27"/>
      <c r="H41" s="16">
        <v>100</v>
      </c>
      <c r="I41" s="16">
        <v>90</v>
      </c>
      <c r="J41" s="16">
        <v>100</v>
      </c>
      <c r="K41" s="16">
        <v>100</v>
      </c>
      <c r="L41" s="16">
        <v>90</v>
      </c>
      <c r="M41" s="16"/>
      <c r="N41" s="16"/>
      <c r="O41" s="17"/>
      <c r="P41" s="16"/>
      <c r="Q41" s="18">
        <f t="shared" si="0"/>
        <v>37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</row>
    <row r="42" spans="1:24" ht="17.25" customHeight="1" x14ac:dyDescent="0.3">
      <c r="A42" s="20">
        <v>39</v>
      </c>
      <c r="B42" s="20" t="s">
        <v>128</v>
      </c>
      <c r="C42" s="20">
        <v>114612113</v>
      </c>
      <c r="D42" s="20" t="s">
        <v>130</v>
      </c>
      <c r="E42" s="21"/>
      <c r="F42" s="22" t="s">
        <v>55</v>
      </c>
      <c r="G42" s="23"/>
      <c r="H42" s="16">
        <v>100</v>
      </c>
      <c r="I42" s="16">
        <v>80</v>
      </c>
      <c r="J42" s="16">
        <v>70</v>
      </c>
      <c r="K42" s="16">
        <v>75</v>
      </c>
      <c r="L42" s="16">
        <v>95</v>
      </c>
      <c r="M42" s="16"/>
      <c r="N42" s="16"/>
      <c r="O42" s="17"/>
      <c r="P42" s="16"/>
      <c r="Q42" s="18">
        <f t="shared" si="0"/>
        <v>32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</row>
    <row r="43" spans="1:24" ht="17.25" customHeight="1" x14ac:dyDescent="0.3">
      <c r="A43" s="28">
        <v>40</v>
      </c>
      <c r="B43" s="28" t="s">
        <v>128</v>
      </c>
      <c r="C43" s="28">
        <v>114612119</v>
      </c>
      <c r="D43" s="28" t="s">
        <v>132</v>
      </c>
      <c r="E43" s="29"/>
      <c r="F43" s="30" t="s">
        <v>55</v>
      </c>
      <c r="G43" s="31"/>
      <c r="H43" s="32">
        <v>100</v>
      </c>
      <c r="I43" s="32">
        <v>90</v>
      </c>
      <c r="J43" s="32">
        <v>100</v>
      </c>
      <c r="K43" s="32">
        <v>100</v>
      </c>
      <c r="L43" s="32">
        <v>90</v>
      </c>
      <c r="M43" s="32"/>
      <c r="N43" s="16"/>
      <c r="O43" s="17"/>
      <c r="P43" s="33"/>
      <c r="Q43" s="18">
        <f t="shared" si="0"/>
        <v>37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</row>
    <row r="44" spans="1:24" ht="17.25" customHeight="1" x14ac:dyDescent="0.3">
      <c r="A44" s="12">
        <v>41</v>
      </c>
      <c r="B44" s="12" t="s">
        <v>133</v>
      </c>
      <c r="C44" s="12">
        <v>114652002</v>
      </c>
      <c r="D44" s="12" t="s">
        <v>135</v>
      </c>
      <c r="E44" s="13"/>
      <c r="F44" s="14" t="s">
        <v>55</v>
      </c>
      <c r="G44" s="15"/>
      <c r="H44" s="16">
        <v>95</v>
      </c>
      <c r="I44" s="16">
        <v>95</v>
      </c>
      <c r="J44" s="16">
        <v>95</v>
      </c>
      <c r="K44" s="16">
        <v>90</v>
      </c>
      <c r="L44" s="16">
        <v>90</v>
      </c>
      <c r="M44" s="16"/>
      <c r="N44" s="16"/>
      <c r="O44" s="17"/>
      <c r="P44" s="16"/>
      <c r="Q44" s="18">
        <f t="shared" si="0"/>
        <v>36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1</v>
      </c>
      <c r="X44" s="5">
        <v>1</v>
      </c>
    </row>
    <row r="45" spans="1:24" ht="17.25" customHeight="1" x14ac:dyDescent="0.3">
      <c r="A45" s="20">
        <v>42</v>
      </c>
      <c r="B45" s="20" t="s">
        <v>133</v>
      </c>
      <c r="C45" s="20">
        <v>114652015</v>
      </c>
      <c r="D45" s="20" t="s">
        <v>137</v>
      </c>
      <c r="E45" s="21"/>
      <c r="F45" s="22"/>
      <c r="G45" s="23"/>
      <c r="H45" s="16">
        <v>100</v>
      </c>
      <c r="I45" s="16">
        <v>90</v>
      </c>
      <c r="J45" s="16">
        <v>100</v>
      </c>
      <c r="K45" s="16">
        <v>100</v>
      </c>
      <c r="L45" s="16">
        <v>70</v>
      </c>
      <c r="M45" s="16"/>
      <c r="N45" s="16"/>
      <c r="O45" s="17"/>
      <c r="P45" s="16"/>
      <c r="Q45" s="18">
        <f t="shared" si="0"/>
        <v>35</v>
      </c>
      <c r="R45" s="5">
        <v>1</v>
      </c>
      <c r="S45" s="5">
        <v>1</v>
      </c>
      <c r="T45" s="5">
        <v>1</v>
      </c>
      <c r="U45" s="5">
        <v>1</v>
      </c>
      <c r="V45" s="5">
        <v>1</v>
      </c>
      <c r="W45" s="5">
        <v>1</v>
      </c>
      <c r="X45" s="5">
        <v>1</v>
      </c>
    </row>
    <row r="46" spans="1:24" ht="17.25" customHeight="1" x14ac:dyDescent="0.3">
      <c r="A46" s="24">
        <v>43</v>
      </c>
      <c r="B46" s="24" t="s">
        <v>133</v>
      </c>
      <c r="C46" s="24">
        <v>114652019</v>
      </c>
      <c r="D46" s="24" t="s">
        <v>139</v>
      </c>
      <c r="E46" s="25"/>
      <c r="F46" s="26"/>
      <c r="G46" s="27"/>
      <c r="H46" s="16">
        <v>100</v>
      </c>
      <c r="I46" s="16">
        <v>95</v>
      </c>
      <c r="J46" s="16">
        <v>98</v>
      </c>
      <c r="K46" s="16">
        <v>95</v>
      </c>
      <c r="L46" s="16">
        <v>88</v>
      </c>
      <c r="M46" s="16"/>
      <c r="N46" s="16"/>
      <c r="O46" s="17"/>
      <c r="P46" s="16"/>
      <c r="Q46" s="18">
        <f t="shared" si="0"/>
        <v>36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>
        <v>1</v>
      </c>
    </row>
    <row r="47" spans="1:24" ht="17.25" customHeight="1" x14ac:dyDescent="0.3">
      <c r="A47" s="20">
        <v>44</v>
      </c>
      <c r="B47" s="20" t="s">
        <v>133</v>
      </c>
      <c r="C47" s="20">
        <v>114652049</v>
      </c>
      <c r="D47" s="20" t="s">
        <v>141</v>
      </c>
      <c r="E47" s="21"/>
      <c r="F47" s="22"/>
      <c r="G47" s="23"/>
      <c r="H47" s="16">
        <v>90</v>
      </c>
      <c r="I47" s="16">
        <v>85</v>
      </c>
      <c r="J47" s="16">
        <v>90</v>
      </c>
      <c r="K47" s="16">
        <v>90</v>
      </c>
      <c r="L47" s="16">
        <v>90</v>
      </c>
      <c r="M47" s="16"/>
      <c r="N47" s="16"/>
      <c r="O47" s="17"/>
      <c r="P47" s="16"/>
      <c r="Q47" s="18">
        <f t="shared" si="0"/>
        <v>34</v>
      </c>
      <c r="R47" s="5">
        <v>1</v>
      </c>
      <c r="S47" s="5">
        <v>1</v>
      </c>
      <c r="T47" s="5">
        <v>1</v>
      </c>
      <c r="U47" s="5">
        <v>1</v>
      </c>
      <c r="V47" s="5">
        <v>1</v>
      </c>
      <c r="W47" s="5">
        <v>1</v>
      </c>
      <c r="X47" s="5">
        <v>1</v>
      </c>
    </row>
    <row r="48" spans="1:24" ht="17.25" customHeight="1" x14ac:dyDescent="0.3">
      <c r="A48" s="28">
        <v>45</v>
      </c>
      <c r="B48" s="28" t="s">
        <v>133</v>
      </c>
      <c r="C48" s="28">
        <v>114652059</v>
      </c>
      <c r="D48" s="28" t="s">
        <v>143</v>
      </c>
      <c r="E48" s="29"/>
      <c r="F48" s="30"/>
      <c r="G48" s="31"/>
      <c r="H48" s="32">
        <v>100</v>
      </c>
      <c r="I48" s="32">
        <v>100</v>
      </c>
      <c r="J48" s="32">
        <v>100</v>
      </c>
      <c r="K48" s="32">
        <v>100</v>
      </c>
      <c r="L48" s="32">
        <v>100</v>
      </c>
      <c r="M48" s="32"/>
      <c r="N48" s="16"/>
      <c r="O48" s="17"/>
      <c r="P48" s="33"/>
      <c r="Q48" s="18">
        <f t="shared" si="0"/>
        <v>38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</row>
    <row r="49" spans="1:24" ht="17.25" customHeight="1" x14ac:dyDescent="0.3">
      <c r="A49" s="12">
        <v>46</v>
      </c>
      <c r="B49" s="12" t="s">
        <v>144</v>
      </c>
      <c r="C49" s="12">
        <v>614001032</v>
      </c>
      <c r="D49" s="12" t="s">
        <v>146</v>
      </c>
      <c r="E49" s="13"/>
      <c r="F49" s="14"/>
      <c r="G49" s="15"/>
      <c r="H49" s="16">
        <v>100</v>
      </c>
      <c r="I49" s="16">
        <v>88</v>
      </c>
      <c r="J49" s="16">
        <v>70</v>
      </c>
      <c r="K49" s="16">
        <v>95</v>
      </c>
      <c r="L49" s="16">
        <v>95</v>
      </c>
      <c r="M49" s="16"/>
      <c r="N49" s="16"/>
      <c r="O49" s="17"/>
      <c r="P49" s="16"/>
      <c r="Q49" s="18">
        <f t="shared" si="0"/>
        <v>34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</row>
    <row r="50" spans="1:24" ht="17.25" customHeight="1" x14ac:dyDescent="0.3">
      <c r="E50" s="6"/>
      <c r="F50" s="6" t="s">
        <v>55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24" ht="17.25" customHeight="1" x14ac:dyDescent="0.3">
      <c r="E51" s="6"/>
      <c r="F51" s="6" t="s">
        <v>55</v>
      </c>
      <c r="G51" s="18"/>
      <c r="H51" s="18">
        <f t="shared" ref="H51:M51" si="1">SUMIF(H$4:H$44,"&gt;60")/COUNTIF(H$4:H$44,"&gt;60")</f>
        <v>98.94736842105263</v>
      </c>
      <c r="I51" s="18">
        <f t="shared" si="1"/>
        <v>93</v>
      </c>
      <c r="J51" s="18">
        <f t="shared" si="1"/>
        <v>97.25</v>
      </c>
      <c r="K51" s="18">
        <f t="shared" si="1"/>
        <v>98.07692307692308</v>
      </c>
      <c r="L51" s="18">
        <f t="shared" si="1"/>
        <v>93.25</v>
      </c>
      <c r="M51" s="18" t="e">
        <f t="shared" si="1"/>
        <v>#DIV/0!</v>
      </c>
      <c r="N51" s="18"/>
      <c r="O51" s="34" t="e">
        <f>SUMIF(O$4:O$44,"&gt;60")/COUNTIF(O$4:O$44,"&gt;60")</f>
        <v>#DIV/0!</v>
      </c>
      <c r="P51" s="34" t="e">
        <f>SUMIF(P$4:P$44,"&gt;60")/COUNTIF(P$4:P$44,"&gt;60")</f>
        <v>#DIV/0!</v>
      </c>
      <c r="Q51" s="34" t="e">
        <f>SUMIF(Q$4:Q$44,"&gt;60")/COUNTIF(Q$4:Q$44,"&gt;60")</f>
        <v>#DIV/0!</v>
      </c>
    </row>
    <row r="52" spans="1:24" ht="17.25" customHeight="1" x14ac:dyDescent="0.3">
      <c r="E52" s="6"/>
      <c r="F52" s="6" t="s">
        <v>55</v>
      </c>
      <c r="G52" s="18"/>
      <c r="H52" s="18"/>
      <c r="I52" s="18"/>
      <c r="J52" s="18"/>
      <c r="K52" s="18"/>
      <c r="L52" s="18"/>
      <c r="M52" s="18"/>
      <c r="N52" s="18"/>
      <c r="O52" s="34" t="e">
        <f t="array" ref="O52">AVERAGE(_xlfn._xlws.FILTER(O4:O44,O4:O44&gt;0))</f>
        <v>#VALUE!</v>
      </c>
      <c r="P52" s="34" t="e">
        <f t="array" ref="P52">AVERAGE(_xlfn._xlws.FILTER(P4:P44,P4:P44&gt;0))</f>
        <v>#VALUE!</v>
      </c>
      <c r="Q52" s="34" t="e">
        <f t="array" aca="1" ref="Q52" ca="1">AVERAGE(_xlfn._xlws.FILTER(Q4:Q44,Q4:Q44&gt;0))</f>
        <v>#NAME?</v>
      </c>
      <c r="R52" s="18">
        <f t="array" ref="R52">AVERAGE(_xlfn._xlws.FILTER(R4:R44,R4:R44&gt;0))</f>
        <v>1</v>
      </c>
      <c r="S52" s="18">
        <f t="array" ref="S52">AVERAGE(_xlfn._xlws.FILTER(S4:S44,S4:S44&gt;0))</f>
        <v>1</v>
      </c>
      <c r="T52" s="18">
        <f t="array" ref="T52">AVERAGE(_xlfn._xlws.FILTER(T4:T44,T4:T44&gt;0))</f>
        <v>1</v>
      </c>
      <c r="U52" s="18">
        <f t="array" ref="U52">AVERAGE(_xlfn._xlws.FILTER(U4:U44,U4:U44&gt;0))</f>
        <v>1</v>
      </c>
      <c r="V52" s="18">
        <f t="array" ref="V52">AVERAGE(_xlfn._xlws.FILTER(V4:V44,V4:V44&gt;0))</f>
        <v>1</v>
      </c>
      <c r="W52" s="18">
        <f t="array" ref="W52">AVERAGE(_xlfn._xlws.FILTER(W4:W44,W4:W44&gt;0))</f>
        <v>1</v>
      </c>
      <c r="X52" s="18">
        <f t="array" ref="X52">AVERAGE(_xlfn._xlws.FILTER(X4:X44,X4:X44&gt;0))</f>
        <v>1</v>
      </c>
    </row>
    <row r="53" spans="1:24" ht="17.25" customHeight="1" x14ac:dyDescent="0.3">
      <c r="F53" s="1" t="s">
        <v>55</v>
      </c>
      <c r="H53" s="34" t="e">
        <f t="array" aca="1" ref="H53" ca="1">_xlfn.STDEV.P(_xlfn._xlws.FILTER(H4:H44,H4:H44&gt;0))</f>
        <v>#NAME?</v>
      </c>
      <c r="I53" s="34" t="e">
        <f t="array" aca="1" ref="I53" ca="1">_xlfn.STDEV.P(_xlfn._xlws.FILTER(I4:I44,I4:I44&gt;0))</f>
        <v>#NAME?</v>
      </c>
      <c r="J53" s="34" t="e">
        <f t="array" aca="1" ref="J53" ca="1">_xlfn.STDEV.P(_xlfn._xlws.FILTER(J4:J44,J4:J44&gt;0))</f>
        <v>#NAME?</v>
      </c>
      <c r="K53" s="34" t="e">
        <f t="array" aca="1" ref="K53" ca="1">_xlfn.STDEV.P(_xlfn._xlws.FILTER(K4:K44,K4:K44&gt;0))</f>
        <v>#NAME?</v>
      </c>
      <c r="L53" s="34" t="e">
        <f t="array" aca="1" ref="L53" ca="1">_xlfn.STDEV.P(_xlfn._xlws.FILTER(L4:L44,L4:L44&gt;0))</f>
        <v>#NAME?</v>
      </c>
      <c r="M53" s="34" t="e">
        <f t="array" aca="1" ref="M53" ca="1">_xlfn.STDEV.P(_xlfn._xlws.FILTER(M4:M44,M4:M44&gt;0))</f>
        <v>#NAME?</v>
      </c>
      <c r="N53" s="34"/>
      <c r="O53" s="34" t="e">
        <f t="array" ref="O53">_xlfn.STDEV.P(_xlfn._xlws.FILTER(O4:O44,O4:O44&gt;0))</f>
        <v>#VALUE!</v>
      </c>
      <c r="P53" s="34" t="e">
        <f t="array" ref="P53">_xlfn.STDEV.P(_xlfn._xlws.FILTER(P4:P44,P4:P44&gt;0))</f>
        <v>#VALUE!</v>
      </c>
      <c r="Q53" s="34" t="e">
        <f t="array" aca="1" ref="Q53" ca="1">_xlfn.STDEV.P(_xlfn._xlws.FILTER(Q4:Q44,Q4:Q44&gt;0))</f>
        <v>#NAME?</v>
      </c>
      <c r="R53" s="34"/>
      <c r="S53" s="34"/>
      <c r="T53" s="34"/>
      <c r="U53" s="34"/>
      <c r="V53" s="34"/>
      <c r="W53" s="34"/>
      <c r="X53" s="34"/>
    </row>
    <row r="54" spans="1:24" ht="17.25" customHeight="1" x14ac:dyDescent="0.3">
      <c r="F54" s="1" t="s">
        <v>55</v>
      </c>
      <c r="G54" s="18"/>
      <c r="H54" s="19">
        <f t="shared" ref="H54:M54" si="2">COUNT(H4:H44)</f>
        <v>41</v>
      </c>
      <c r="I54" s="19">
        <f t="shared" si="2"/>
        <v>41</v>
      </c>
      <c r="J54" s="19">
        <f t="shared" si="2"/>
        <v>41</v>
      </c>
      <c r="K54" s="19">
        <f t="shared" si="2"/>
        <v>41</v>
      </c>
      <c r="L54" s="19">
        <f t="shared" si="2"/>
        <v>41</v>
      </c>
      <c r="M54" s="19">
        <f t="shared" si="2"/>
        <v>0</v>
      </c>
      <c r="N54" s="19"/>
      <c r="O54" s="19">
        <f>COUNT(O4:O44)</f>
        <v>0</v>
      </c>
      <c r="P54" s="19">
        <f>COUNT(P4:P44)</f>
        <v>0</v>
      </c>
      <c r="Q54" s="18"/>
    </row>
  </sheetData>
  <mergeCells count="1">
    <mergeCell ref="R2:X2"/>
  </mergeCells>
  <phoneticPr fontId="2" type="noConversion"/>
  <conditionalFormatting sqref="H4:Q49">
    <cfRule type="cellIs" dxfId="0" priority="3" operator="lessThan">
      <formula>60</formula>
    </cfRule>
  </conditionalFormatting>
  <pageMargins left="0.75" right="0.75" top="1" bottom="1" header="0.5" footer="0.5"/>
  <pageSetup paperSize="9" scale="8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EC09-C26E-4395-BA9C-33280C900F85}">
  <dimension ref="A2:H63"/>
  <sheetViews>
    <sheetView topLeftCell="C1" zoomScale="89" workbookViewId="0">
      <selection activeCell="G56" sqref="G56"/>
    </sheetView>
  </sheetViews>
  <sheetFormatPr defaultRowHeight="16.2" x14ac:dyDescent="0.3"/>
  <cols>
    <col min="2" max="2" width="18.5546875" customWidth="1"/>
    <col min="3" max="3" width="14.109375" customWidth="1"/>
    <col min="4" max="4" width="19" customWidth="1"/>
    <col min="5" max="5" width="11.88671875" customWidth="1"/>
    <col min="6" max="6" width="11" customWidth="1"/>
    <col min="7" max="7" width="61.33203125" customWidth="1"/>
    <col min="8" max="8" width="52.109375" customWidth="1"/>
    <col min="9" max="9" width="22.44140625" customWidth="1"/>
    <col min="11" max="14" width="8.88671875" customWidth="1"/>
  </cols>
  <sheetData>
    <row r="2" spans="1:8" ht="16.8" thickBot="1" x14ac:dyDescent="0.35"/>
    <row r="3" spans="1:8" ht="16.8" thickBot="1" x14ac:dyDescent="0.35">
      <c r="A3" s="7" t="s">
        <v>149</v>
      </c>
      <c r="B3" s="7" t="s">
        <v>3</v>
      </c>
      <c r="C3" s="7" t="s">
        <v>4</v>
      </c>
      <c r="D3" s="7" t="s">
        <v>5</v>
      </c>
      <c r="E3" s="7" t="s">
        <v>147</v>
      </c>
      <c r="F3" s="7" t="s">
        <v>148</v>
      </c>
      <c r="G3" s="7" t="s">
        <v>182</v>
      </c>
      <c r="H3" s="9" t="s">
        <v>186</v>
      </c>
    </row>
    <row r="4" spans="1:8" x14ac:dyDescent="0.3">
      <c r="A4" s="12">
        <v>1</v>
      </c>
      <c r="B4" s="12" t="s">
        <v>23</v>
      </c>
      <c r="C4" s="12" t="s">
        <v>24</v>
      </c>
      <c r="D4" s="12" t="s">
        <v>25</v>
      </c>
      <c r="E4" s="40"/>
    </row>
    <row r="5" spans="1:8" x14ac:dyDescent="0.3">
      <c r="A5" s="20">
        <v>2</v>
      </c>
      <c r="B5" s="20" t="s">
        <v>27</v>
      </c>
      <c r="C5" s="20" t="s">
        <v>28</v>
      </c>
      <c r="D5" s="20" t="s">
        <v>29</v>
      </c>
      <c r="E5" s="40"/>
    </row>
    <row r="6" spans="1:8" x14ac:dyDescent="0.3">
      <c r="A6" s="24">
        <v>3</v>
      </c>
      <c r="B6" s="24" t="s">
        <v>30</v>
      </c>
      <c r="C6" s="24" t="s">
        <v>31</v>
      </c>
      <c r="D6" s="24" t="s">
        <v>32</v>
      </c>
      <c r="E6" s="40"/>
    </row>
    <row r="7" spans="1:8" x14ac:dyDescent="0.3">
      <c r="A7" s="20">
        <v>4</v>
      </c>
      <c r="B7" s="20" t="s">
        <v>33</v>
      </c>
      <c r="C7" s="20" t="s">
        <v>34</v>
      </c>
      <c r="D7" s="20" t="s">
        <v>35</v>
      </c>
      <c r="E7" s="40"/>
    </row>
    <row r="8" spans="1:8" x14ac:dyDescent="0.3">
      <c r="A8" s="28">
        <v>5</v>
      </c>
      <c r="B8" s="28" t="s">
        <v>36</v>
      </c>
      <c r="C8" s="28" t="s">
        <v>37</v>
      </c>
      <c r="D8" s="28" t="s">
        <v>38</v>
      </c>
      <c r="E8" s="40"/>
    </row>
    <row r="9" spans="1:8" x14ac:dyDescent="0.3">
      <c r="A9" s="12">
        <v>6</v>
      </c>
      <c r="B9" s="12" t="s">
        <v>39</v>
      </c>
      <c r="C9" s="12" t="s">
        <v>40</v>
      </c>
      <c r="D9" s="12" t="s">
        <v>41</v>
      </c>
      <c r="E9" s="40"/>
      <c r="F9" s="39"/>
    </row>
    <row r="10" spans="1:8" x14ac:dyDescent="0.3">
      <c r="A10" s="20">
        <v>7</v>
      </c>
      <c r="B10" s="20" t="s">
        <v>42</v>
      </c>
      <c r="C10" s="20" t="s">
        <v>43</v>
      </c>
      <c r="D10" s="20" t="s">
        <v>44</v>
      </c>
      <c r="E10" s="40"/>
    </row>
    <row r="11" spans="1:8" x14ac:dyDescent="0.3">
      <c r="A11" s="24">
        <v>8</v>
      </c>
      <c r="B11" s="24" t="s">
        <v>27</v>
      </c>
      <c r="C11" s="24">
        <v>111701035</v>
      </c>
      <c r="D11" s="24" t="s">
        <v>200</v>
      </c>
      <c r="E11" s="40">
        <v>65</v>
      </c>
      <c r="F11" s="39" t="s">
        <v>185</v>
      </c>
      <c r="G11" s="39" t="s">
        <v>190</v>
      </c>
      <c r="H11" s="39" t="s">
        <v>199</v>
      </c>
    </row>
    <row r="12" spans="1:8" x14ac:dyDescent="0.3">
      <c r="A12" s="20">
        <v>9</v>
      </c>
      <c r="B12" s="20" t="s">
        <v>46</v>
      </c>
      <c r="C12" s="20" t="s">
        <v>47</v>
      </c>
      <c r="D12" s="20" t="s">
        <v>48</v>
      </c>
      <c r="E12" s="40"/>
    </row>
    <row r="13" spans="1:8" x14ac:dyDescent="0.3">
      <c r="A13" s="28">
        <v>10</v>
      </c>
      <c r="B13" s="28" t="s">
        <v>49</v>
      </c>
      <c r="C13" s="28" t="s">
        <v>50</v>
      </c>
      <c r="D13" s="28" t="s">
        <v>51</v>
      </c>
      <c r="E13" s="40">
        <v>0</v>
      </c>
      <c r="F13" s="39" t="s">
        <v>184</v>
      </c>
      <c r="G13" s="39" t="s">
        <v>183</v>
      </c>
    </row>
    <row r="14" spans="1:8" x14ac:dyDescent="0.3">
      <c r="A14" s="12">
        <v>11</v>
      </c>
      <c r="B14" s="12" t="s">
        <v>52</v>
      </c>
      <c r="C14" s="12" t="s">
        <v>53</v>
      </c>
      <c r="D14" s="12" t="s">
        <v>54</v>
      </c>
      <c r="E14" s="40"/>
    </row>
    <row r="15" spans="1:8" x14ac:dyDescent="0.3">
      <c r="A15" s="20">
        <v>12</v>
      </c>
      <c r="B15" s="20" t="s">
        <v>52</v>
      </c>
      <c r="C15" s="20" t="s">
        <v>56</v>
      </c>
      <c r="D15" s="20" t="s">
        <v>57</v>
      </c>
      <c r="E15" s="40"/>
    </row>
    <row r="16" spans="1:8" x14ac:dyDescent="0.3">
      <c r="A16" s="24">
        <v>13</v>
      </c>
      <c r="B16" s="24" t="s">
        <v>58</v>
      </c>
      <c r="C16" s="24" t="s">
        <v>59</v>
      </c>
      <c r="D16" s="24" t="s">
        <v>60</v>
      </c>
      <c r="E16" s="40"/>
    </row>
    <row r="17" spans="1:8" x14ac:dyDescent="0.3">
      <c r="A17" s="20">
        <v>14</v>
      </c>
      <c r="B17" s="20" t="s">
        <v>58</v>
      </c>
      <c r="C17" s="20" t="s">
        <v>61</v>
      </c>
      <c r="D17" s="20" t="s">
        <v>62</v>
      </c>
      <c r="E17" s="40"/>
    </row>
    <row r="18" spans="1:8" x14ac:dyDescent="0.3">
      <c r="A18" s="28">
        <v>15</v>
      </c>
      <c r="B18" s="28" t="s">
        <v>63</v>
      </c>
      <c r="C18" s="28" t="s">
        <v>64</v>
      </c>
      <c r="D18" s="28" t="s">
        <v>65</v>
      </c>
      <c r="E18" s="40"/>
    </row>
    <row r="19" spans="1:8" x14ac:dyDescent="0.3">
      <c r="A19" s="12">
        <v>16</v>
      </c>
      <c r="B19" s="12" t="s">
        <v>66</v>
      </c>
      <c r="C19" s="12" t="s">
        <v>67</v>
      </c>
      <c r="D19" s="12" t="s">
        <v>68</v>
      </c>
      <c r="E19" s="40"/>
    </row>
    <row r="20" spans="1:8" x14ac:dyDescent="0.3">
      <c r="A20" s="20">
        <v>17</v>
      </c>
      <c r="B20" s="20" t="s">
        <v>69</v>
      </c>
      <c r="C20" s="20" t="s">
        <v>70</v>
      </c>
      <c r="D20" s="20" t="s">
        <v>71</v>
      </c>
      <c r="E20" s="40"/>
    </row>
    <row r="21" spans="1:8" x14ac:dyDescent="0.3">
      <c r="A21" s="24">
        <v>18</v>
      </c>
      <c r="B21" s="24" t="s">
        <v>69</v>
      </c>
      <c r="C21" s="24" t="s">
        <v>72</v>
      </c>
      <c r="D21" s="24" t="s">
        <v>73</v>
      </c>
      <c r="E21" s="40">
        <v>0</v>
      </c>
      <c r="F21" s="39" t="s">
        <v>184</v>
      </c>
      <c r="G21" s="39" t="s">
        <v>183</v>
      </c>
    </row>
    <row r="22" spans="1:8" x14ac:dyDescent="0.3">
      <c r="A22" s="20">
        <v>19</v>
      </c>
      <c r="B22" s="20" t="s">
        <v>74</v>
      </c>
      <c r="C22" s="20" t="s">
        <v>75</v>
      </c>
      <c r="D22" s="20" t="s">
        <v>76</v>
      </c>
      <c r="E22" s="40"/>
    </row>
    <row r="23" spans="1:8" x14ac:dyDescent="0.3">
      <c r="A23" s="28">
        <v>20</v>
      </c>
      <c r="B23" s="28" t="s">
        <v>77</v>
      </c>
      <c r="C23" s="28" t="s">
        <v>78</v>
      </c>
      <c r="D23" s="28" t="s">
        <v>79</v>
      </c>
      <c r="E23" s="40"/>
    </row>
    <row r="24" spans="1:8" x14ac:dyDescent="0.3">
      <c r="A24" s="12">
        <v>21</v>
      </c>
      <c r="B24" s="12" t="s">
        <v>80</v>
      </c>
      <c r="C24" s="12" t="s">
        <v>81</v>
      </c>
      <c r="D24" s="12" t="s">
        <v>82</v>
      </c>
      <c r="E24" s="40"/>
    </row>
    <row r="25" spans="1:8" x14ac:dyDescent="0.3">
      <c r="A25" s="20">
        <v>22</v>
      </c>
      <c r="B25" s="20" t="s">
        <v>83</v>
      </c>
      <c r="C25" s="20" t="s">
        <v>84</v>
      </c>
      <c r="D25" s="20" t="s">
        <v>85</v>
      </c>
      <c r="E25" s="40"/>
      <c r="F25" s="39"/>
    </row>
    <row r="26" spans="1:8" x14ac:dyDescent="0.3">
      <c r="A26" s="24">
        <v>23</v>
      </c>
      <c r="B26" s="24" t="s">
        <v>86</v>
      </c>
      <c r="C26" s="41">
        <v>113450014</v>
      </c>
      <c r="D26" s="24" t="s">
        <v>201</v>
      </c>
      <c r="E26" s="40">
        <v>60</v>
      </c>
      <c r="F26" s="39" t="s">
        <v>185</v>
      </c>
      <c r="G26" s="39" t="s">
        <v>191</v>
      </c>
      <c r="H26" s="39" t="s">
        <v>202</v>
      </c>
    </row>
    <row r="27" spans="1:8" x14ac:dyDescent="0.3">
      <c r="A27" s="20">
        <v>24</v>
      </c>
      <c r="B27" s="20" t="s">
        <v>88</v>
      </c>
      <c r="C27" s="20" t="s">
        <v>89</v>
      </c>
      <c r="D27" s="20" t="s">
        <v>90</v>
      </c>
      <c r="E27" s="40"/>
    </row>
    <row r="28" spans="1:8" x14ac:dyDescent="0.3">
      <c r="A28" s="28">
        <v>25</v>
      </c>
      <c r="B28" s="28" t="s">
        <v>88</v>
      </c>
      <c r="C28" s="28" t="s">
        <v>91</v>
      </c>
      <c r="D28" s="28" t="s">
        <v>92</v>
      </c>
      <c r="E28" s="40"/>
    </row>
    <row r="29" spans="1:8" x14ac:dyDescent="0.3">
      <c r="A29" s="12">
        <v>26</v>
      </c>
      <c r="B29" s="12" t="s">
        <v>88</v>
      </c>
      <c r="C29" s="12" t="s">
        <v>93</v>
      </c>
      <c r="D29" s="12" t="s">
        <v>94</v>
      </c>
      <c r="E29" s="40"/>
    </row>
    <row r="30" spans="1:8" x14ac:dyDescent="0.3">
      <c r="A30" s="20">
        <v>27</v>
      </c>
      <c r="B30" s="20" t="s">
        <v>95</v>
      </c>
      <c r="C30" s="20" t="s">
        <v>96</v>
      </c>
      <c r="D30" s="20" t="s">
        <v>97</v>
      </c>
      <c r="E30" s="40"/>
      <c r="F30" s="39"/>
      <c r="G30" s="39"/>
    </row>
    <row r="31" spans="1:8" x14ac:dyDescent="0.3">
      <c r="A31" s="24">
        <v>28</v>
      </c>
      <c r="B31" s="24" t="s">
        <v>88</v>
      </c>
      <c r="C31" s="24" t="s">
        <v>98</v>
      </c>
      <c r="D31" s="24" t="s">
        <v>99</v>
      </c>
      <c r="E31" s="40"/>
    </row>
    <row r="32" spans="1:8" x14ac:dyDescent="0.3">
      <c r="A32" s="20">
        <v>29</v>
      </c>
      <c r="B32" s="20" t="s">
        <v>95</v>
      </c>
      <c r="C32" s="20" t="s">
        <v>100</v>
      </c>
      <c r="D32" s="20" t="s">
        <v>101</v>
      </c>
      <c r="E32" s="40"/>
      <c r="F32" s="39"/>
    </row>
    <row r="33" spans="1:8" x14ac:dyDescent="0.3">
      <c r="A33" s="28">
        <v>30</v>
      </c>
      <c r="B33" s="28" t="s">
        <v>102</v>
      </c>
      <c r="C33" s="28" t="s">
        <v>103</v>
      </c>
      <c r="D33" s="28" t="s">
        <v>104</v>
      </c>
      <c r="E33" s="40"/>
    </row>
    <row r="34" spans="1:8" x14ac:dyDescent="0.3">
      <c r="A34" s="12">
        <v>31</v>
      </c>
      <c r="B34" s="12" t="s">
        <v>105</v>
      </c>
      <c r="C34" s="12" t="s">
        <v>106</v>
      </c>
      <c r="D34" s="12" t="s">
        <v>107</v>
      </c>
      <c r="E34" s="40"/>
    </row>
    <row r="35" spans="1:8" x14ac:dyDescent="0.3">
      <c r="A35" s="20">
        <v>32</v>
      </c>
      <c r="B35" s="20" t="s">
        <v>108</v>
      </c>
      <c r="C35" s="20" t="s">
        <v>109</v>
      </c>
      <c r="D35" s="20" t="s">
        <v>110</v>
      </c>
      <c r="E35" s="40"/>
    </row>
    <row r="36" spans="1:8" x14ac:dyDescent="0.3">
      <c r="A36" s="24">
        <v>33</v>
      </c>
      <c r="B36" s="24" t="s">
        <v>111</v>
      </c>
      <c r="C36" s="24" t="s">
        <v>112</v>
      </c>
      <c r="D36" s="24" t="s">
        <v>113</v>
      </c>
      <c r="E36" s="40"/>
    </row>
    <row r="37" spans="1:8" x14ac:dyDescent="0.3">
      <c r="A37" s="20">
        <v>34</v>
      </c>
      <c r="B37" s="20" t="s">
        <v>114</v>
      </c>
      <c r="C37" s="20" t="s">
        <v>115</v>
      </c>
      <c r="D37" s="20" t="s">
        <v>116</v>
      </c>
      <c r="E37" s="40"/>
    </row>
    <row r="38" spans="1:8" x14ac:dyDescent="0.3">
      <c r="A38" s="28">
        <v>35</v>
      </c>
      <c r="B38" s="28" t="s">
        <v>117</v>
      </c>
      <c r="C38" s="28" t="s">
        <v>118</v>
      </c>
      <c r="D38" s="28" t="s">
        <v>119</v>
      </c>
      <c r="E38" s="40"/>
    </row>
    <row r="39" spans="1:8" x14ac:dyDescent="0.3">
      <c r="A39" s="12">
        <v>36</v>
      </c>
      <c r="B39" s="12" t="s">
        <v>120</v>
      </c>
      <c r="C39" s="12" t="s">
        <v>121</v>
      </c>
      <c r="D39" s="12" t="s">
        <v>122</v>
      </c>
      <c r="E39" s="40"/>
    </row>
    <row r="40" spans="1:8" x14ac:dyDescent="0.3">
      <c r="A40" s="20">
        <v>37</v>
      </c>
      <c r="B40" s="20" t="s">
        <v>123</v>
      </c>
      <c r="C40" s="20" t="s">
        <v>124</v>
      </c>
      <c r="D40" s="20" t="s">
        <v>125</v>
      </c>
      <c r="E40" s="40"/>
    </row>
    <row r="41" spans="1:8" x14ac:dyDescent="0.3">
      <c r="A41" s="24">
        <v>38</v>
      </c>
      <c r="B41" s="24" t="s">
        <v>123</v>
      </c>
      <c r="C41" s="24" t="s">
        <v>126</v>
      </c>
      <c r="D41" s="24" t="s">
        <v>127</v>
      </c>
      <c r="E41" s="40"/>
    </row>
    <row r="42" spans="1:8" x14ac:dyDescent="0.3">
      <c r="A42" s="20">
        <v>39</v>
      </c>
      <c r="B42" s="20" t="s">
        <v>128</v>
      </c>
      <c r="C42" s="20" t="s">
        <v>129</v>
      </c>
      <c r="D42" s="20" t="s">
        <v>130</v>
      </c>
      <c r="E42" s="40"/>
    </row>
    <row r="43" spans="1:8" x14ac:dyDescent="0.3">
      <c r="A43" s="28">
        <v>40</v>
      </c>
      <c r="B43" s="28" t="s">
        <v>128</v>
      </c>
      <c r="C43" s="28" t="s">
        <v>131</v>
      </c>
      <c r="D43" s="28" t="s">
        <v>132</v>
      </c>
      <c r="E43" s="40"/>
    </row>
    <row r="44" spans="1:8" x14ac:dyDescent="0.3">
      <c r="A44" s="12">
        <v>41</v>
      </c>
      <c r="B44" s="12" t="s">
        <v>133</v>
      </c>
      <c r="C44" s="12" t="s">
        <v>134</v>
      </c>
      <c r="D44" s="12" t="s">
        <v>135</v>
      </c>
      <c r="E44" s="40">
        <v>95</v>
      </c>
      <c r="F44" s="39" t="s">
        <v>187</v>
      </c>
      <c r="G44" s="39" t="s">
        <v>192</v>
      </c>
      <c r="H44" s="39" t="s">
        <v>193</v>
      </c>
    </row>
    <row r="45" spans="1:8" x14ac:dyDescent="0.3">
      <c r="A45" s="20">
        <v>42</v>
      </c>
      <c r="B45" s="20" t="s">
        <v>133</v>
      </c>
      <c r="C45" s="20" t="s">
        <v>136</v>
      </c>
      <c r="D45" s="20" t="s">
        <v>137</v>
      </c>
      <c r="E45" s="40"/>
      <c r="F45" s="39"/>
      <c r="H45" t="s">
        <v>217</v>
      </c>
    </row>
    <row r="46" spans="1:8" x14ac:dyDescent="0.3">
      <c r="A46" s="24">
        <v>43</v>
      </c>
      <c r="B46" s="24" t="s">
        <v>133</v>
      </c>
      <c r="C46" s="24" t="s">
        <v>138</v>
      </c>
      <c r="D46" s="24" t="s">
        <v>139</v>
      </c>
      <c r="E46" s="40"/>
    </row>
    <row r="47" spans="1:8" x14ac:dyDescent="0.3">
      <c r="A47" s="20">
        <v>44</v>
      </c>
      <c r="B47" s="20" t="s">
        <v>133</v>
      </c>
      <c r="C47" s="20" t="s">
        <v>140</v>
      </c>
      <c r="D47" s="20" t="s">
        <v>141</v>
      </c>
      <c r="E47" s="40">
        <v>90</v>
      </c>
      <c r="F47" s="39" t="s">
        <v>188</v>
      </c>
      <c r="G47" s="39" t="s">
        <v>194</v>
      </c>
      <c r="H47" t="s">
        <v>198</v>
      </c>
    </row>
    <row r="48" spans="1:8" x14ac:dyDescent="0.3">
      <c r="A48" s="28">
        <v>45</v>
      </c>
      <c r="B48" s="28" t="s">
        <v>133</v>
      </c>
      <c r="C48" s="28" t="s">
        <v>142</v>
      </c>
      <c r="D48" s="28" t="s">
        <v>143</v>
      </c>
      <c r="E48" s="40"/>
    </row>
    <row r="49" spans="1:5" x14ac:dyDescent="0.3">
      <c r="A49" s="12">
        <v>46</v>
      </c>
      <c r="B49" s="12" t="s">
        <v>144</v>
      </c>
      <c r="C49" s="12" t="s">
        <v>145</v>
      </c>
      <c r="D49" s="12" t="s">
        <v>146</v>
      </c>
      <c r="E49" s="40"/>
    </row>
    <row r="50" spans="1:5" x14ac:dyDescent="0.3">
      <c r="E50" s="40"/>
    </row>
    <row r="51" spans="1:5" x14ac:dyDescent="0.3">
      <c r="E51" s="40"/>
    </row>
    <row r="56" spans="1:5" x14ac:dyDescent="0.3">
      <c r="A56" s="36" t="s">
        <v>150</v>
      </c>
      <c r="B56" s="36" t="s">
        <v>148</v>
      </c>
      <c r="C56" s="36" t="s">
        <v>151</v>
      </c>
      <c r="D56" s="36" t="s">
        <v>152</v>
      </c>
      <c r="E56" s="36" t="s">
        <v>181</v>
      </c>
    </row>
    <row r="57" spans="1:5" ht="32.4" x14ac:dyDescent="0.3">
      <c r="A57" s="37" t="s">
        <v>153</v>
      </c>
      <c r="B57" s="37" t="s">
        <v>154</v>
      </c>
      <c r="C57" s="37" t="s">
        <v>155</v>
      </c>
      <c r="D57" s="37" t="s">
        <v>156</v>
      </c>
      <c r="E57" s="37" t="s">
        <v>155</v>
      </c>
    </row>
    <row r="58" spans="1:5" ht="32.4" x14ac:dyDescent="0.3">
      <c r="A58" s="37" t="s">
        <v>157</v>
      </c>
      <c r="B58" s="37" t="s">
        <v>158</v>
      </c>
      <c r="C58" s="37" t="s">
        <v>159</v>
      </c>
      <c r="D58" s="37" t="s">
        <v>160</v>
      </c>
      <c r="E58" s="37" t="s">
        <v>161</v>
      </c>
    </row>
    <row r="59" spans="1:5" ht="32.4" x14ac:dyDescent="0.3">
      <c r="A59" s="37" t="s">
        <v>162</v>
      </c>
      <c r="B59" s="37" t="s">
        <v>163</v>
      </c>
      <c r="C59" s="37" t="s">
        <v>164</v>
      </c>
      <c r="D59" s="37" t="s">
        <v>165</v>
      </c>
      <c r="E59" s="37" t="s">
        <v>189</v>
      </c>
    </row>
    <row r="60" spans="1:5" ht="32.4" x14ac:dyDescent="0.3">
      <c r="A60" s="37" t="s">
        <v>166</v>
      </c>
      <c r="B60" s="37" t="s">
        <v>167</v>
      </c>
      <c r="C60" s="37" t="s">
        <v>168</v>
      </c>
      <c r="D60" s="37" t="s">
        <v>169</v>
      </c>
      <c r="E60" s="37" t="s">
        <v>170</v>
      </c>
    </row>
    <row r="61" spans="1:5" ht="32.4" x14ac:dyDescent="0.3">
      <c r="A61" s="37" t="s">
        <v>171</v>
      </c>
      <c r="B61" s="37" t="s">
        <v>172</v>
      </c>
      <c r="C61" s="37" t="s">
        <v>173</v>
      </c>
      <c r="D61" s="37" t="s">
        <v>174</v>
      </c>
      <c r="E61" s="37" t="s">
        <v>175</v>
      </c>
    </row>
    <row r="62" spans="1:5" ht="32.4" x14ac:dyDescent="0.3">
      <c r="A62" s="37" t="s">
        <v>176</v>
      </c>
      <c r="B62" s="37" t="s">
        <v>177</v>
      </c>
      <c r="C62" s="37" t="s">
        <v>178</v>
      </c>
      <c r="D62" s="37" t="s">
        <v>179</v>
      </c>
      <c r="E62" s="37" t="s">
        <v>180</v>
      </c>
    </row>
    <row r="63" spans="1:5" ht="64.8" x14ac:dyDescent="0.3">
      <c r="A63" s="37" t="s">
        <v>188</v>
      </c>
      <c r="B63" s="37" t="s">
        <v>195</v>
      </c>
      <c r="C63" s="37" t="s">
        <v>196</v>
      </c>
      <c r="D63" s="37" t="s">
        <v>197</v>
      </c>
      <c r="E63" s="37" t="s">
        <v>194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733A-C0D4-41F0-890A-01D34DA633E6}">
  <dimension ref="A2:H63"/>
  <sheetViews>
    <sheetView topLeftCell="A11" zoomScale="90" zoomScaleNormal="90" workbookViewId="0">
      <selection activeCell="E4" sqref="E4:H4"/>
    </sheetView>
  </sheetViews>
  <sheetFormatPr defaultRowHeight="16.2" x14ac:dyDescent="0.3"/>
  <cols>
    <col min="1" max="1" width="6.6640625" style="42" customWidth="1"/>
    <col min="2" max="2" width="19.109375" customWidth="1"/>
    <col min="3" max="3" width="15.6640625" customWidth="1"/>
    <col min="4" max="4" width="16.77734375" customWidth="1"/>
    <col min="5" max="5" width="13.5546875" customWidth="1"/>
    <col min="6" max="6" width="16.44140625" customWidth="1"/>
    <col min="7" max="7" width="40.77734375" customWidth="1"/>
    <col min="8" max="8" width="93.44140625" customWidth="1"/>
  </cols>
  <sheetData>
    <row r="2" spans="1:8" ht="16.8" thickBot="1" x14ac:dyDescent="0.35"/>
    <row r="3" spans="1:8" ht="16.8" thickBot="1" x14ac:dyDescent="0.35">
      <c r="A3" s="43" t="s">
        <v>149</v>
      </c>
      <c r="B3" s="7" t="s">
        <v>3</v>
      </c>
      <c r="C3" s="7" t="s">
        <v>4</v>
      </c>
      <c r="D3" s="7" t="s">
        <v>5</v>
      </c>
      <c r="E3" s="7" t="s">
        <v>205</v>
      </c>
      <c r="F3" s="7" t="s">
        <v>148</v>
      </c>
      <c r="G3" s="7" t="s">
        <v>182</v>
      </c>
      <c r="H3" s="9" t="s">
        <v>186</v>
      </c>
    </row>
    <row r="4" spans="1:8" x14ac:dyDescent="0.3">
      <c r="A4" s="44">
        <v>1</v>
      </c>
      <c r="B4" s="12" t="s">
        <v>23</v>
      </c>
      <c r="C4" s="12" t="s">
        <v>24</v>
      </c>
      <c r="D4" s="12" t="s">
        <v>25</v>
      </c>
      <c r="E4" s="40">
        <v>90</v>
      </c>
      <c r="F4" s="39" t="s">
        <v>203</v>
      </c>
      <c r="G4" s="39" t="s">
        <v>204</v>
      </c>
      <c r="H4" s="39" t="s">
        <v>206</v>
      </c>
    </row>
    <row r="5" spans="1:8" x14ac:dyDescent="0.3">
      <c r="A5" s="45">
        <v>2</v>
      </c>
      <c r="B5" s="20" t="s">
        <v>27</v>
      </c>
      <c r="C5" s="20" t="s">
        <v>28</v>
      </c>
      <c r="D5" s="20" t="s">
        <v>29</v>
      </c>
      <c r="E5" s="40">
        <v>90</v>
      </c>
      <c r="F5" s="39" t="s">
        <v>203</v>
      </c>
      <c r="G5" s="39" t="s">
        <v>204</v>
      </c>
      <c r="H5" s="39" t="s">
        <v>206</v>
      </c>
    </row>
    <row r="6" spans="1:8" x14ac:dyDescent="0.3">
      <c r="A6" s="41">
        <v>3</v>
      </c>
      <c r="B6" s="24" t="s">
        <v>30</v>
      </c>
      <c r="C6" s="24" t="s">
        <v>31</v>
      </c>
      <c r="D6" s="24" t="s">
        <v>32</v>
      </c>
      <c r="E6" s="40"/>
    </row>
    <row r="7" spans="1:8" x14ac:dyDescent="0.3">
      <c r="A7" s="45">
        <v>4</v>
      </c>
      <c r="B7" s="20" t="s">
        <v>33</v>
      </c>
      <c r="C7" s="20" t="s">
        <v>34</v>
      </c>
      <c r="D7" s="20" t="s">
        <v>35</v>
      </c>
      <c r="E7" s="40">
        <v>90</v>
      </c>
      <c r="F7" s="39" t="s">
        <v>203</v>
      </c>
      <c r="G7" s="39" t="s">
        <v>204</v>
      </c>
      <c r="H7" s="39" t="s">
        <v>206</v>
      </c>
    </row>
    <row r="8" spans="1:8" x14ac:dyDescent="0.3">
      <c r="A8" s="46">
        <v>5</v>
      </c>
      <c r="B8" s="28" t="s">
        <v>36</v>
      </c>
      <c r="C8" s="28" t="s">
        <v>37</v>
      </c>
      <c r="D8" s="28" t="s">
        <v>38</v>
      </c>
      <c r="E8" s="40">
        <v>90</v>
      </c>
      <c r="F8" s="39" t="s">
        <v>203</v>
      </c>
      <c r="G8" s="39" t="s">
        <v>204</v>
      </c>
      <c r="H8" s="39" t="s">
        <v>206</v>
      </c>
    </row>
    <row r="9" spans="1:8" x14ac:dyDescent="0.3">
      <c r="A9" s="44">
        <v>6</v>
      </c>
      <c r="B9" s="12" t="s">
        <v>39</v>
      </c>
      <c r="C9" s="12" t="s">
        <v>40</v>
      </c>
      <c r="D9" s="12" t="s">
        <v>41</v>
      </c>
      <c r="E9" s="40">
        <v>98</v>
      </c>
      <c r="F9" s="39" t="s">
        <v>203</v>
      </c>
      <c r="G9" s="39" t="s">
        <v>204</v>
      </c>
      <c r="H9" s="39" t="s">
        <v>216</v>
      </c>
    </row>
    <row r="10" spans="1:8" x14ac:dyDescent="0.3">
      <c r="A10" s="45">
        <v>7</v>
      </c>
      <c r="B10" s="20" t="s">
        <v>42</v>
      </c>
      <c r="C10" s="20" t="s">
        <v>43</v>
      </c>
      <c r="D10" s="20" t="s">
        <v>44</v>
      </c>
      <c r="E10" s="40">
        <v>0</v>
      </c>
      <c r="F10" s="39" t="s">
        <v>184</v>
      </c>
      <c r="G10" s="39" t="s">
        <v>183</v>
      </c>
    </row>
    <row r="11" spans="1:8" x14ac:dyDescent="0.3">
      <c r="A11" s="41">
        <v>8</v>
      </c>
      <c r="B11" s="24" t="s">
        <v>27</v>
      </c>
      <c r="C11" s="41">
        <v>111701035</v>
      </c>
      <c r="D11" s="24" t="s">
        <v>200</v>
      </c>
      <c r="E11" s="40"/>
      <c r="F11" s="39"/>
      <c r="G11" s="39"/>
      <c r="H11" s="39"/>
    </row>
    <row r="12" spans="1:8" x14ac:dyDescent="0.3">
      <c r="A12" s="45">
        <v>9</v>
      </c>
      <c r="B12" s="20" t="s">
        <v>46</v>
      </c>
      <c r="C12" s="20" t="s">
        <v>47</v>
      </c>
      <c r="D12" s="20" t="s">
        <v>48</v>
      </c>
      <c r="E12" s="40">
        <v>90</v>
      </c>
      <c r="F12" s="39" t="s">
        <v>203</v>
      </c>
      <c r="G12" s="39" t="s">
        <v>204</v>
      </c>
      <c r="H12" s="39" t="s">
        <v>206</v>
      </c>
    </row>
    <row r="13" spans="1:8" x14ac:dyDescent="0.3">
      <c r="A13" s="46">
        <v>10</v>
      </c>
      <c r="B13" s="28" t="s">
        <v>49</v>
      </c>
      <c r="C13" s="28" t="s">
        <v>50</v>
      </c>
      <c r="D13" s="28" t="s">
        <v>51</v>
      </c>
      <c r="E13" s="40"/>
      <c r="F13" s="39"/>
      <c r="G13" s="39"/>
    </row>
    <row r="14" spans="1:8" x14ac:dyDescent="0.3">
      <c r="A14" s="44">
        <v>11</v>
      </c>
      <c r="B14" s="12" t="s">
        <v>52</v>
      </c>
      <c r="C14" s="12" t="s">
        <v>53</v>
      </c>
      <c r="D14" s="12" t="s">
        <v>54</v>
      </c>
      <c r="E14" s="40">
        <v>90</v>
      </c>
      <c r="F14" s="39" t="s">
        <v>203</v>
      </c>
      <c r="G14" s="39" t="s">
        <v>204</v>
      </c>
      <c r="H14" s="39" t="s">
        <v>206</v>
      </c>
    </row>
    <row r="15" spans="1:8" x14ac:dyDescent="0.3">
      <c r="A15" s="45">
        <v>12</v>
      </c>
      <c r="B15" s="20" t="s">
        <v>52</v>
      </c>
      <c r="C15" s="20" t="s">
        <v>56</v>
      </c>
      <c r="D15" s="20" t="s">
        <v>57</v>
      </c>
      <c r="E15" s="40">
        <v>90</v>
      </c>
      <c r="F15" s="39" t="s">
        <v>203</v>
      </c>
      <c r="G15" s="39" t="s">
        <v>204</v>
      </c>
      <c r="H15" s="39" t="s">
        <v>206</v>
      </c>
    </row>
    <row r="16" spans="1:8" x14ac:dyDescent="0.3">
      <c r="A16" s="41">
        <v>13</v>
      </c>
      <c r="B16" s="24" t="s">
        <v>58</v>
      </c>
      <c r="C16" s="24" t="s">
        <v>59</v>
      </c>
      <c r="D16" s="24" t="s">
        <v>60</v>
      </c>
      <c r="E16" s="40">
        <v>90</v>
      </c>
      <c r="F16" s="39" t="s">
        <v>203</v>
      </c>
      <c r="G16" s="39" t="s">
        <v>204</v>
      </c>
      <c r="H16" s="39" t="s">
        <v>206</v>
      </c>
    </row>
    <row r="17" spans="1:8" x14ac:dyDescent="0.3">
      <c r="A17" s="45">
        <v>14</v>
      </c>
      <c r="B17" s="20" t="s">
        <v>58</v>
      </c>
      <c r="C17" s="20" t="s">
        <v>61</v>
      </c>
      <c r="D17" s="20" t="s">
        <v>62</v>
      </c>
      <c r="E17" s="40">
        <v>90</v>
      </c>
      <c r="F17" s="39" t="s">
        <v>203</v>
      </c>
      <c r="G17" s="39" t="s">
        <v>204</v>
      </c>
      <c r="H17" s="39" t="s">
        <v>206</v>
      </c>
    </row>
    <row r="18" spans="1:8" x14ac:dyDescent="0.3">
      <c r="A18" s="46">
        <v>15</v>
      </c>
      <c r="B18" s="28" t="s">
        <v>63</v>
      </c>
      <c r="C18" s="28" t="s">
        <v>64</v>
      </c>
      <c r="D18" s="28" t="s">
        <v>65</v>
      </c>
      <c r="E18" s="40"/>
    </row>
    <row r="19" spans="1:8" x14ac:dyDescent="0.3">
      <c r="A19" s="44">
        <v>16</v>
      </c>
      <c r="B19" s="12" t="s">
        <v>66</v>
      </c>
      <c r="C19" s="12" t="s">
        <v>67</v>
      </c>
      <c r="D19" s="12" t="s">
        <v>68</v>
      </c>
      <c r="E19" s="40">
        <v>90</v>
      </c>
      <c r="F19" s="39" t="s">
        <v>203</v>
      </c>
      <c r="G19" s="39" t="s">
        <v>204</v>
      </c>
      <c r="H19" s="39" t="s">
        <v>206</v>
      </c>
    </row>
    <row r="20" spans="1:8" x14ac:dyDescent="0.3">
      <c r="A20" s="45">
        <v>17</v>
      </c>
      <c r="B20" s="20" t="s">
        <v>69</v>
      </c>
      <c r="C20" s="20" t="s">
        <v>70</v>
      </c>
      <c r="D20" s="20" t="s">
        <v>71</v>
      </c>
      <c r="E20" s="40">
        <v>90</v>
      </c>
      <c r="F20" s="39" t="s">
        <v>203</v>
      </c>
      <c r="G20" s="39" t="s">
        <v>204</v>
      </c>
      <c r="H20" s="39" t="s">
        <v>206</v>
      </c>
    </row>
    <row r="21" spans="1:8" x14ac:dyDescent="0.3">
      <c r="A21" s="41">
        <v>18</v>
      </c>
      <c r="B21" s="24" t="s">
        <v>69</v>
      </c>
      <c r="C21" s="24" t="s">
        <v>72</v>
      </c>
      <c r="D21" s="24" t="s">
        <v>73</v>
      </c>
      <c r="E21" s="40">
        <v>88</v>
      </c>
      <c r="F21" s="39" t="s">
        <v>203</v>
      </c>
      <c r="G21" s="39" t="s">
        <v>204</v>
      </c>
      <c r="H21" s="39" t="s">
        <v>207</v>
      </c>
    </row>
    <row r="22" spans="1:8" x14ac:dyDescent="0.3">
      <c r="A22" s="45">
        <v>19</v>
      </c>
      <c r="B22" s="20" t="s">
        <v>74</v>
      </c>
      <c r="C22" s="20" t="s">
        <v>75</v>
      </c>
      <c r="D22" s="20" t="s">
        <v>76</v>
      </c>
      <c r="E22" s="40">
        <v>0</v>
      </c>
      <c r="F22" s="39" t="s">
        <v>184</v>
      </c>
      <c r="G22" s="39" t="s">
        <v>183</v>
      </c>
      <c r="H22" s="39"/>
    </row>
    <row r="23" spans="1:8" x14ac:dyDescent="0.3">
      <c r="A23" s="46">
        <v>20</v>
      </c>
      <c r="B23" s="28" t="s">
        <v>77</v>
      </c>
      <c r="C23" s="28" t="s">
        <v>78</v>
      </c>
      <c r="D23" s="28" t="s">
        <v>79</v>
      </c>
      <c r="E23" s="40">
        <v>98</v>
      </c>
      <c r="F23" s="39" t="s">
        <v>203</v>
      </c>
      <c r="G23" t="s">
        <v>204</v>
      </c>
      <c r="H23" s="39" t="s">
        <v>220</v>
      </c>
    </row>
    <row r="24" spans="1:8" x14ac:dyDescent="0.3">
      <c r="A24" s="44">
        <v>21</v>
      </c>
      <c r="B24" s="12" t="s">
        <v>80</v>
      </c>
      <c r="C24" s="12" t="s">
        <v>81</v>
      </c>
      <c r="D24" s="12" t="s">
        <v>82</v>
      </c>
      <c r="E24" s="40">
        <v>85</v>
      </c>
      <c r="F24" s="39" t="s">
        <v>210</v>
      </c>
      <c r="G24" s="39" t="s">
        <v>211</v>
      </c>
      <c r="H24" s="39" t="s">
        <v>212</v>
      </c>
    </row>
    <row r="25" spans="1:8" x14ac:dyDescent="0.3">
      <c r="A25" s="45">
        <v>22</v>
      </c>
      <c r="B25" s="20" t="s">
        <v>83</v>
      </c>
      <c r="C25" s="20" t="s">
        <v>84</v>
      </c>
      <c r="D25" s="20" t="s">
        <v>85</v>
      </c>
      <c r="E25" s="40">
        <v>95</v>
      </c>
      <c r="F25" s="39" t="s">
        <v>215</v>
      </c>
      <c r="G25" s="39" t="s">
        <v>214</v>
      </c>
      <c r="H25" s="39" t="s">
        <v>213</v>
      </c>
    </row>
    <row r="26" spans="1:8" x14ac:dyDescent="0.3">
      <c r="A26" s="41">
        <v>23</v>
      </c>
      <c r="B26" s="24" t="s">
        <v>86</v>
      </c>
      <c r="C26" s="41">
        <v>113450014</v>
      </c>
      <c r="D26" s="24" t="s">
        <v>201</v>
      </c>
      <c r="E26" s="40">
        <v>98</v>
      </c>
      <c r="F26" s="39" t="s">
        <v>203</v>
      </c>
      <c r="G26" s="39" t="s">
        <v>204</v>
      </c>
      <c r="H26" s="39" t="s">
        <v>216</v>
      </c>
    </row>
    <row r="27" spans="1:8" x14ac:dyDescent="0.3">
      <c r="A27" s="45">
        <v>24</v>
      </c>
      <c r="B27" s="20" t="s">
        <v>88</v>
      </c>
      <c r="C27" s="20" t="s">
        <v>89</v>
      </c>
      <c r="D27" s="20" t="s">
        <v>90</v>
      </c>
      <c r="E27" s="40">
        <v>98</v>
      </c>
      <c r="F27" s="39" t="s">
        <v>203</v>
      </c>
      <c r="G27" s="39" t="s">
        <v>204</v>
      </c>
      <c r="H27" s="39" t="s">
        <v>218</v>
      </c>
    </row>
    <row r="28" spans="1:8" x14ac:dyDescent="0.3">
      <c r="A28" s="46">
        <v>25</v>
      </c>
      <c r="B28" s="28" t="s">
        <v>88</v>
      </c>
      <c r="C28" s="28" t="s">
        <v>91</v>
      </c>
      <c r="D28" s="28" t="s">
        <v>92</v>
      </c>
      <c r="E28" s="40">
        <v>98</v>
      </c>
      <c r="F28" s="39" t="s">
        <v>203</v>
      </c>
      <c r="G28" s="39" t="s">
        <v>204</v>
      </c>
      <c r="H28" s="39" t="s">
        <v>216</v>
      </c>
    </row>
    <row r="29" spans="1:8" x14ac:dyDescent="0.3">
      <c r="A29" s="44">
        <v>26</v>
      </c>
      <c r="B29" s="12" t="s">
        <v>88</v>
      </c>
      <c r="C29" s="12" t="s">
        <v>93</v>
      </c>
      <c r="D29" s="12" t="s">
        <v>94</v>
      </c>
      <c r="E29" s="40">
        <v>90</v>
      </c>
      <c r="F29" s="39" t="s">
        <v>203</v>
      </c>
      <c r="G29" s="39" t="s">
        <v>204</v>
      </c>
      <c r="H29" s="39" t="s">
        <v>206</v>
      </c>
    </row>
    <row r="30" spans="1:8" x14ac:dyDescent="0.3">
      <c r="A30" s="45">
        <v>27</v>
      </c>
      <c r="B30" s="20" t="s">
        <v>95</v>
      </c>
      <c r="C30" s="20" t="s">
        <v>96</v>
      </c>
      <c r="D30" s="20" t="s">
        <v>97</v>
      </c>
      <c r="E30" s="40">
        <v>98</v>
      </c>
      <c r="F30" s="39" t="s">
        <v>203</v>
      </c>
      <c r="G30" t="s">
        <v>204</v>
      </c>
      <c r="H30" s="39" t="s">
        <v>219</v>
      </c>
    </row>
    <row r="31" spans="1:8" x14ac:dyDescent="0.3">
      <c r="A31" s="41">
        <v>28</v>
      </c>
      <c r="B31" s="24" t="s">
        <v>88</v>
      </c>
      <c r="C31" s="24" t="s">
        <v>98</v>
      </c>
      <c r="D31" s="24" t="s">
        <v>99</v>
      </c>
      <c r="E31" s="40">
        <v>95</v>
      </c>
      <c r="F31" s="39" t="s">
        <v>203</v>
      </c>
      <c r="G31" t="s">
        <v>204</v>
      </c>
      <c r="H31" s="39" t="s">
        <v>221</v>
      </c>
    </row>
    <row r="32" spans="1:8" x14ac:dyDescent="0.3">
      <c r="A32" s="45">
        <v>29</v>
      </c>
      <c r="B32" s="20" t="s">
        <v>95</v>
      </c>
      <c r="C32" s="20" t="s">
        <v>100</v>
      </c>
      <c r="D32" s="20" t="s">
        <v>101</v>
      </c>
      <c r="E32" s="40">
        <v>98</v>
      </c>
      <c r="F32" s="39" t="s">
        <v>209</v>
      </c>
      <c r="G32" s="39" t="s">
        <v>208</v>
      </c>
      <c r="H32" t="s">
        <v>222</v>
      </c>
    </row>
    <row r="33" spans="1:8" x14ac:dyDescent="0.3">
      <c r="A33" s="46">
        <v>30</v>
      </c>
      <c r="B33" s="28" t="s">
        <v>102</v>
      </c>
      <c r="C33" s="28" t="s">
        <v>103</v>
      </c>
      <c r="D33" s="28" t="s">
        <v>104</v>
      </c>
      <c r="E33" s="40">
        <v>98</v>
      </c>
      <c r="F33" s="39" t="s">
        <v>215</v>
      </c>
      <c r="G33" s="39" t="s">
        <v>224</v>
      </c>
      <c r="H33" s="39" t="s">
        <v>223</v>
      </c>
    </row>
    <row r="34" spans="1:8" x14ac:dyDescent="0.3">
      <c r="A34" s="44">
        <v>31</v>
      </c>
      <c r="B34" s="12" t="s">
        <v>105</v>
      </c>
      <c r="C34" s="12" t="s">
        <v>106</v>
      </c>
      <c r="D34" s="12" t="s">
        <v>107</v>
      </c>
      <c r="E34" s="40">
        <v>90</v>
      </c>
      <c r="F34" s="39" t="s">
        <v>203</v>
      </c>
      <c r="G34" s="39" t="s">
        <v>204</v>
      </c>
      <c r="H34" s="39" t="s">
        <v>206</v>
      </c>
    </row>
    <row r="35" spans="1:8" x14ac:dyDescent="0.3">
      <c r="A35" s="45">
        <v>32</v>
      </c>
      <c r="B35" s="20" t="s">
        <v>108</v>
      </c>
      <c r="C35" s="20" t="s">
        <v>109</v>
      </c>
      <c r="D35" s="20" t="s">
        <v>110</v>
      </c>
      <c r="E35" s="40">
        <v>90</v>
      </c>
      <c r="F35" s="39" t="s">
        <v>203</v>
      </c>
      <c r="G35" s="39" t="s">
        <v>204</v>
      </c>
      <c r="H35" s="39" t="s">
        <v>206</v>
      </c>
    </row>
    <row r="36" spans="1:8" x14ac:dyDescent="0.3">
      <c r="A36" s="41">
        <v>33</v>
      </c>
      <c r="B36" s="24" t="s">
        <v>111</v>
      </c>
      <c r="C36" s="24" t="s">
        <v>112</v>
      </c>
      <c r="D36" s="24" t="s">
        <v>113</v>
      </c>
      <c r="E36" s="40">
        <v>95</v>
      </c>
      <c r="F36" s="39" t="s">
        <v>203</v>
      </c>
      <c r="G36" s="39" t="s">
        <v>204</v>
      </c>
      <c r="H36" s="39" t="s">
        <v>226</v>
      </c>
    </row>
    <row r="37" spans="1:8" x14ac:dyDescent="0.3">
      <c r="A37" s="45">
        <v>34</v>
      </c>
      <c r="B37" s="20" t="s">
        <v>114</v>
      </c>
      <c r="C37" s="20" t="s">
        <v>115</v>
      </c>
      <c r="D37" s="20" t="s">
        <v>116</v>
      </c>
      <c r="E37" s="40"/>
    </row>
    <row r="38" spans="1:8" x14ac:dyDescent="0.3">
      <c r="A38" s="46">
        <v>35</v>
      </c>
      <c r="B38" s="28" t="s">
        <v>117</v>
      </c>
      <c r="C38" s="28" t="s">
        <v>118</v>
      </c>
      <c r="D38" s="28" t="s">
        <v>119</v>
      </c>
      <c r="E38" s="40">
        <v>90</v>
      </c>
      <c r="F38" s="39" t="s">
        <v>203</v>
      </c>
      <c r="G38" s="39" t="s">
        <v>204</v>
      </c>
      <c r="H38" s="39" t="s">
        <v>206</v>
      </c>
    </row>
    <row r="39" spans="1:8" x14ac:dyDescent="0.3">
      <c r="A39" s="44">
        <v>36</v>
      </c>
      <c r="B39" s="12" t="s">
        <v>120</v>
      </c>
      <c r="C39" s="12" t="s">
        <v>121</v>
      </c>
      <c r="D39" s="12" t="s">
        <v>122</v>
      </c>
      <c r="E39" s="40">
        <v>90</v>
      </c>
      <c r="F39" s="39" t="s">
        <v>203</v>
      </c>
      <c r="G39" s="39" t="s">
        <v>204</v>
      </c>
      <c r="H39" s="39" t="s">
        <v>206</v>
      </c>
    </row>
    <row r="40" spans="1:8" x14ac:dyDescent="0.3">
      <c r="A40" s="45">
        <v>37</v>
      </c>
      <c r="B40" s="20" t="s">
        <v>123</v>
      </c>
      <c r="C40" s="20" t="s">
        <v>124</v>
      </c>
      <c r="D40" s="20" t="s">
        <v>125</v>
      </c>
      <c r="E40" s="40">
        <v>90</v>
      </c>
      <c r="F40" s="39" t="s">
        <v>203</v>
      </c>
      <c r="G40" s="39" t="s">
        <v>204</v>
      </c>
      <c r="H40" s="39" t="s">
        <v>206</v>
      </c>
    </row>
    <row r="41" spans="1:8" x14ac:dyDescent="0.3">
      <c r="A41" s="41">
        <v>38</v>
      </c>
      <c r="B41" s="24" t="s">
        <v>123</v>
      </c>
      <c r="C41" s="24" t="s">
        <v>126</v>
      </c>
      <c r="D41" s="24" t="s">
        <v>127</v>
      </c>
      <c r="E41" s="40">
        <v>90</v>
      </c>
      <c r="F41" s="39" t="s">
        <v>203</v>
      </c>
      <c r="G41" s="39" t="s">
        <v>204</v>
      </c>
      <c r="H41" s="39" t="s">
        <v>206</v>
      </c>
    </row>
    <row r="42" spans="1:8" x14ac:dyDescent="0.3">
      <c r="A42" s="45">
        <v>39</v>
      </c>
      <c r="B42" s="20" t="s">
        <v>128</v>
      </c>
      <c r="C42" s="20" t="s">
        <v>129</v>
      </c>
      <c r="D42" s="20" t="s">
        <v>130</v>
      </c>
      <c r="E42" s="40">
        <v>80</v>
      </c>
      <c r="F42" s="39" t="s">
        <v>228</v>
      </c>
      <c r="G42" s="39" t="s">
        <v>229</v>
      </c>
      <c r="H42" s="39" t="s">
        <v>227</v>
      </c>
    </row>
    <row r="43" spans="1:8" x14ac:dyDescent="0.3">
      <c r="A43" s="46">
        <v>40</v>
      </c>
      <c r="B43" s="28" t="s">
        <v>128</v>
      </c>
      <c r="C43" s="28" t="s">
        <v>131</v>
      </c>
      <c r="D43" s="28" t="s">
        <v>132</v>
      </c>
      <c r="E43" s="40">
        <v>90</v>
      </c>
      <c r="F43" s="39" t="s">
        <v>203</v>
      </c>
      <c r="G43" s="39" t="s">
        <v>204</v>
      </c>
      <c r="H43" s="39" t="s">
        <v>206</v>
      </c>
    </row>
    <row r="44" spans="1:8" x14ac:dyDescent="0.3">
      <c r="A44" s="44">
        <v>41</v>
      </c>
      <c r="B44" s="12" t="s">
        <v>133</v>
      </c>
      <c r="C44" s="12" t="s">
        <v>134</v>
      </c>
      <c r="D44" s="12" t="s">
        <v>135</v>
      </c>
      <c r="E44" s="40">
        <v>95</v>
      </c>
      <c r="F44" s="39" t="s">
        <v>209</v>
      </c>
      <c r="G44" s="39" t="s">
        <v>208</v>
      </c>
      <c r="H44" s="39" t="s">
        <v>230</v>
      </c>
    </row>
    <row r="45" spans="1:8" x14ac:dyDescent="0.3">
      <c r="A45" s="45">
        <v>42</v>
      </c>
      <c r="B45" s="20" t="s">
        <v>133</v>
      </c>
      <c r="C45" s="20" t="s">
        <v>136</v>
      </c>
      <c r="D45" s="20" t="s">
        <v>137</v>
      </c>
      <c r="E45" s="40">
        <v>90</v>
      </c>
      <c r="F45" s="39" t="s">
        <v>203</v>
      </c>
      <c r="G45" s="39" t="s">
        <v>204</v>
      </c>
      <c r="H45" s="39" t="s">
        <v>206</v>
      </c>
    </row>
    <row r="46" spans="1:8" x14ac:dyDescent="0.3">
      <c r="A46" s="41">
        <v>43</v>
      </c>
      <c r="B46" s="24" t="s">
        <v>133</v>
      </c>
      <c r="C46" s="24" t="s">
        <v>138</v>
      </c>
      <c r="D46" s="24" t="s">
        <v>139</v>
      </c>
      <c r="E46" s="40">
        <v>95</v>
      </c>
      <c r="F46" s="39" t="s">
        <v>210</v>
      </c>
      <c r="G46" s="39" t="s">
        <v>211</v>
      </c>
      <c r="H46" s="39" t="s">
        <v>237</v>
      </c>
    </row>
    <row r="47" spans="1:8" x14ac:dyDescent="0.3">
      <c r="A47" s="45">
        <v>44</v>
      </c>
      <c r="B47" s="20" t="s">
        <v>133</v>
      </c>
      <c r="C47" s="20" t="s">
        <v>140</v>
      </c>
      <c r="D47" s="20" t="s">
        <v>141</v>
      </c>
      <c r="E47" s="40">
        <v>85</v>
      </c>
      <c r="F47" s="39" t="s">
        <v>231</v>
      </c>
      <c r="G47" s="39" t="s">
        <v>232</v>
      </c>
      <c r="H47" t="s">
        <v>233</v>
      </c>
    </row>
    <row r="48" spans="1:8" x14ac:dyDescent="0.3">
      <c r="A48" s="46">
        <v>45</v>
      </c>
      <c r="B48" s="28" t="s">
        <v>133</v>
      </c>
      <c r="C48" s="28" t="s">
        <v>142</v>
      </c>
      <c r="D48" s="28" t="s">
        <v>143</v>
      </c>
      <c r="E48" s="40"/>
    </row>
    <row r="49" spans="1:8" x14ac:dyDescent="0.3">
      <c r="A49" s="44">
        <v>46</v>
      </c>
      <c r="B49" s="12" t="s">
        <v>144</v>
      </c>
      <c r="C49" s="12" t="s">
        <v>145</v>
      </c>
      <c r="D49" s="12" t="s">
        <v>146</v>
      </c>
      <c r="E49" s="40">
        <v>88</v>
      </c>
      <c r="F49" s="39" t="s">
        <v>234</v>
      </c>
      <c r="G49" s="39" t="s">
        <v>235</v>
      </c>
      <c r="H49" s="39" t="s">
        <v>236</v>
      </c>
    </row>
    <row r="50" spans="1:8" x14ac:dyDescent="0.3">
      <c r="E50" s="40"/>
    </row>
    <row r="51" spans="1:8" x14ac:dyDescent="0.3">
      <c r="E51" s="40"/>
    </row>
    <row r="56" spans="1:8" x14ac:dyDescent="0.3">
      <c r="A56" s="47" t="s">
        <v>150</v>
      </c>
      <c r="B56" s="36" t="s">
        <v>148</v>
      </c>
      <c r="C56" s="36" t="s">
        <v>151</v>
      </c>
      <c r="D56" s="36" t="s">
        <v>152</v>
      </c>
      <c r="E56" s="36" t="s">
        <v>181</v>
      </c>
    </row>
    <row r="57" spans="1:8" ht="32.4" x14ac:dyDescent="0.3">
      <c r="A57" s="48" t="s">
        <v>153</v>
      </c>
      <c r="B57" s="37" t="s">
        <v>154</v>
      </c>
      <c r="C57" s="37" t="s">
        <v>155</v>
      </c>
      <c r="D57" s="37" t="s">
        <v>156</v>
      </c>
      <c r="E57" s="37" t="s">
        <v>155</v>
      </c>
    </row>
    <row r="58" spans="1:8" ht="32.4" x14ac:dyDescent="0.3">
      <c r="A58" s="48" t="s">
        <v>157</v>
      </c>
      <c r="B58" s="37" t="s">
        <v>158</v>
      </c>
      <c r="C58" s="37" t="s">
        <v>225</v>
      </c>
      <c r="D58" s="37" t="s">
        <v>160</v>
      </c>
      <c r="E58" s="37" t="s">
        <v>161</v>
      </c>
    </row>
    <row r="59" spans="1:8" ht="32.4" x14ac:dyDescent="0.3">
      <c r="A59" s="48" t="s">
        <v>162</v>
      </c>
      <c r="B59" s="37" t="s">
        <v>163</v>
      </c>
      <c r="C59" s="37" t="s">
        <v>208</v>
      </c>
      <c r="D59" s="37" t="s">
        <v>165</v>
      </c>
      <c r="E59" s="37" t="s">
        <v>189</v>
      </c>
    </row>
    <row r="60" spans="1:8" ht="32.4" x14ac:dyDescent="0.3">
      <c r="A60" s="48" t="s">
        <v>166</v>
      </c>
      <c r="B60" s="37" t="s">
        <v>167</v>
      </c>
      <c r="C60" s="37" t="s">
        <v>168</v>
      </c>
      <c r="D60" s="37" t="s">
        <v>169</v>
      </c>
      <c r="E60" s="37" t="s">
        <v>170</v>
      </c>
    </row>
    <row r="61" spans="1:8" ht="32.4" x14ac:dyDescent="0.3">
      <c r="A61" s="48" t="s">
        <v>171</v>
      </c>
      <c r="B61" s="37" t="s">
        <v>172</v>
      </c>
      <c r="C61" s="37" t="s">
        <v>173</v>
      </c>
      <c r="D61" s="37" t="s">
        <v>174</v>
      </c>
      <c r="E61" s="37" t="s">
        <v>175</v>
      </c>
    </row>
    <row r="62" spans="1:8" ht="32.4" x14ac:dyDescent="0.3">
      <c r="A62" s="48" t="s">
        <v>176</v>
      </c>
      <c r="B62" s="37" t="s">
        <v>177</v>
      </c>
      <c r="C62" s="37" t="s">
        <v>178</v>
      </c>
      <c r="D62" s="37" t="s">
        <v>179</v>
      </c>
      <c r="E62" s="37" t="s">
        <v>180</v>
      </c>
    </row>
    <row r="63" spans="1:8" ht="81" x14ac:dyDescent="0.3">
      <c r="A63" s="48" t="s">
        <v>188</v>
      </c>
      <c r="B63" s="37" t="s">
        <v>195</v>
      </c>
      <c r="C63" s="37" t="s">
        <v>196</v>
      </c>
      <c r="D63" s="37" t="s">
        <v>197</v>
      </c>
      <c r="E63" s="37" t="s">
        <v>194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F80BC-E85B-47E1-A410-E361BF1F8803}">
  <dimension ref="A2:H63"/>
  <sheetViews>
    <sheetView topLeftCell="C7" workbookViewId="0">
      <selection activeCell="E16" sqref="E16"/>
    </sheetView>
  </sheetViews>
  <sheetFormatPr defaultRowHeight="16.2" x14ac:dyDescent="0.3"/>
  <cols>
    <col min="1" max="1" width="11.6640625" customWidth="1"/>
    <col min="2" max="2" width="19.88671875" customWidth="1"/>
    <col min="3" max="3" width="16.77734375" customWidth="1"/>
    <col min="4" max="4" width="16.33203125" customWidth="1"/>
    <col min="5" max="5" width="14.44140625" customWidth="1"/>
    <col min="6" max="6" width="25.33203125" customWidth="1"/>
    <col min="7" max="7" width="49.88671875" customWidth="1"/>
    <col min="8" max="8" width="77.88671875" customWidth="1"/>
  </cols>
  <sheetData>
    <row r="2" spans="1:8" ht="27" customHeight="1" thickBot="1" x14ac:dyDescent="0.35"/>
    <row r="3" spans="1:8" ht="16.8" thickBot="1" x14ac:dyDescent="0.35">
      <c r="A3" s="7" t="s">
        <v>149</v>
      </c>
      <c r="B3" s="7" t="s">
        <v>3</v>
      </c>
      <c r="C3" s="7" t="s">
        <v>4</v>
      </c>
      <c r="D3" s="7" t="s">
        <v>5</v>
      </c>
      <c r="E3" s="7" t="s">
        <v>238</v>
      </c>
      <c r="F3" s="7" t="s">
        <v>148</v>
      </c>
      <c r="G3" s="7" t="s">
        <v>182</v>
      </c>
      <c r="H3" s="9" t="s">
        <v>186</v>
      </c>
    </row>
    <row r="4" spans="1:8" x14ac:dyDescent="0.3">
      <c r="A4" s="44">
        <v>1</v>
      </c>
      <c r="B4" s="12" t="s">
        <v>23</v>
      </c>
      <c r="C4" s="12" t="s">
        <v>24</v>
      </c>
      <c r="D4" s="12" t="s">
        <v>25</v>
      </c>
    </row>
    <row r="5" spans="1:8" x14ac:dyDescent="0.3">
      <c r="A5" s="45">
        <v>2</v>
      </c>
      <c r="B5" s="20" t="s">
        <v>27</v>
      </c>
      <c r="C5" s="20" t="s">
        <v>28</v>
      </c>
      <c r="D5" s="20" t="s">
        <v>29</v>
      </c>
      <c r="H5" t="s">
        <v>249</v>
      </c>
    </row>
    <row r="6" spans="1:8" x14ac:dyDescent="0.3">
      <c r="A6" s="41">
        <v>3</v>
      </c>
      <c r="B6" s="24" t="s">
        <v>30</v>
      </c>
      <c r="C6" s="24" t="s">
        <v>31</v>
      </c>
      <c r="D6" s="24" t="s">
        <v>32</v>
      </c>
    </row>
    <row r="7" spans="1:8" x14ac:dyDescent="0.3">
      <c r="A7" s="45">
        <v>4</v>
      </c>
      <c r="B7" s="20" t="s">
        <v>33</v>
      </c>
      <c r="C7" s="20" t="s">
        <v>34</v>
      </c>
      <c r="D7" s="20" t="s">
        <v>35</v>
      </c>
    </row>
    <row r="8" spans="1:8" x14ac:dyDescent="0.3">
      <c r="A8" s="46">
        <v>5</v>
      </c>
      <c r="B8" s="28" t="s">
        <v>36</v>
      </c>
      <c r="C8" s="28" t="s">
        <v>37</v>
      </c>
      <c r="D8" s="28" t="s">
        <v>38</v>
      </c>
    </row>
    <row r="9" spans="1:8" x14ac:dyDescent="0.3">
      <c r="A9" s="44">
        <v>6</v>
      </c>
      <c r="B9" s="12" t="s">
        <v>39</v>
      </c>
      <c r="C9" s="12" t="s">
        <v>40</v>
      </c>
      <c r="D9" s="12" t="s">
        <v>41</v>
      </c>
      <c r="E9" s="42">
        <v>95</v>
      </c>
      <c r="F9" s="39" t="s">
        <v>242</v>
      </c>
      <c r="G9" s="39" t="s">
        <v>243</v>
      </c>
      <c r="H9" t="s">
        <v>241</v>
      </c>
    </row>
    <row r="10" spans="1:8" x14ac:dyDescent="0.3">
      <c r="A10" s="45">
        <v>7</v>
      </c>
      <c r="B10" s="20" t="s">
        <v>42</v>
      </c>
      <c r="C10" s="20" t="s">
        <v>43</v>
      </c>
      <c r="D10" s="20" t="s">
        <v>44</v>
      </c>
    </row>
    <row r="11" spans="1:8" x14ac:dyDescent="0.3">
      <c r="A11" s="41">
        <v>8</v>
      </c>
      <c r="B11" s="24" t="s">
        <v>27</v>
      </c>
      <c r="C11" s="41">
        <v>111701035</v>
      </c>
      <c r="D11" s="24" t="s">
        <v>200</v>
      </c>
    </row>
    <row r="12" spans="1:8" x14ac:dyDescent="0.3">
      <c r="A12" s="45">
        <v>9</v>
      </c>
      <c r="B12" s="20" t="s">
        <v>46</v>
      </c>
      <c r="C12" s="20" t="s">
        <v>47</v>
      </c>
      <c r="D12" s="20" t="s">
        <v>48</v>
      </c>
    </row>
    <row r="13" spans="1:8" x14ac:dyDescent="0.3">
      <c r="A13" s="46">
        <v>10</v>
      </c>
      <c r="B13" s="28" t="s">
        <v>49</v>
      </c>
      <c r="C13" s="28" t="s">
        <v>50</v>
      </c>
      <c r="D13" s="28" t="s">
        <v>51</v>
      </c>
      <c r="E13" s="40">
        <v>0</v>
      </c>
      <c r="F13" s="39" t="s">
        <v>184</v>
      </c>
      <c r="G13" s="39" t="s">
        <v>183</v>
      </c>
    </row>
    <row r="14" spans="1:8" x14ac:dyDescent="0.3">
      <c r="A14" s="44">
        <v>11</v>
      </c>
      <c r="B14" s="12" t="s">
        <v>52</v>
      </c>
      <c r="C14" s="12" t="s">
        <v>53</v>
      </c>
      <c r="D14" s="12" t="s">
        <v>54</v>
      </c>
    </row>
    <row r="15" spans="1:8" x14ac:dyDescent="0.3">
      <c r="A15" s="45">
        <v>12</v>
      </c>
      <c r="B15" s="20" t="s">
        <v>52</v>
      </c>
      <c r="C15" s="20" t="s">
        <v>56</v>
      </c>
      <c r="D15" s="20" t="s">
        <v>57</v>
      </c>
    </row>
    <row r="16" spans="1:8" x14ac:dyDescent="0.3">
      <c r="A16" s="41">
        <v>13</v>
      </c>
      <c r="B16" s="24" t="s">
        <v>58</v>
      </c>
      <c r="C16" s="24" t="s">
        <v>59</v>
      </c>
      <c r="D16" s="24" t="s">
        <v>60</v>
      </c>
      <c r="E16" s="42">
        <v>80</v>
      </c>
      <c r="F16" s="39" t="s">
        <v>246</v>
      </c>
      <c r="G16" s="39" t="s">
        <v>247</v>
      </c>
      <c r="H16" t="s">
        <v>248</v>
      </c>
    </row>
    <row r="17" spans="1:8" x14ac:dyDescent="0.3">
      <c r="A17" s="45">
        <v>14</v>
      </c>
      <c r="B17" s="20" t="s">
        <v>58</v>
      </c>
      <c r="C17" s="20" t="s">
        <v>61</v>
      </c>
      <c r="D17" s="20" t="s">
        <v>62</v>
      </c>
    </row>
    <row r="18" spans="1:8" x14ac:dyDescent="0.3">
      <c r="A18" s="46">
        <v>15</v>
      </c>
      <c r="B18" s="28" t="s">
        <v>63</v>
      </c>
      <c r="C18" s="28" t="s">
        <v>64</v>
      </c>
      <c r="D18" s="28" t="s">
        <v>65</v>
      </c>
    </row>
    <row r="19" spans="1:8" x14ac:dyDescent="0.3">
      <c r="A19" s="44">
        <v>16</v>
      </c>
      <c r="B19" s="12" t="s">
        <v>66</v>
      </c>
      <c r="C19" s="12" t="s">
        <v>67</v>
      </c>
      <c r="D19" s="12" t="s">
        <v>68</v>
      </c>
      <c r="E19" s="42">
        <v>95</v>
      </c>
      <c r="F19" s="39" t="s">
        <v>242</v>
      </c>
      <c r="G19" s="39" t="s">
        <v>243</v>
      </c>
      <c r="H19" t="s">
        <v>241</v>
      </c>
    </row>
    <row r="20" spans="1:8" x14ac:dyDescent="0.3">
      <c r="A20" s="45">
        <v>17</v>
      </c>
      <c r="B20" s="20" t="s">
        <v>69</v>
      </c>
      <c r="C20" s="20" t="s">
        <v>70</v>
      </c>
      <c r="D20" s="20" t="s">
        <v>71</v>
      </c>
    </row>
    <row r="21" spans="1:8" x14ac:dyDescent="0.3">
      <c r="A21" s="41">
        <v>18</v>
      </c>
      <c r="B21" s="24" t="s">
        <v>69</v>
      </c>
      <c r="C21" s="24" t="s">
        <v>72</v>
      </c>
      <c r="D21" s="24" t="s">
        <v>73</v>
      </c>
      <c r="E21" s="42">
        <v>95</v>
      </c>
      <c r="F21" s="39" t="s">
        <v>242</v>
      </c>
      <c r="G21" s="39" t="s">
        <v>243</v>
      </c>
      <c r="H21" t="s">
        <v>241</v>
      </c>
    </row>
    <row r="22" spans="1:8" x14ac:dyDescent="0.3">
      <c r="A22" s="45">
        <v>19</v>
      </c>
      <c r="B22" s="20" t="s">
        <v>74</v>
      </c>
      <c r="C22" s="20" t="s">
        <v>75</v>
      </c>
      <c r="D22" s="20" t="s">
        <v>76</v>
      </c>
    </row>
    <row r="23" spans="1:8" x14ac:dyDescent="0.3">
      <c r="A23" s="46">
        <v>20</v>
      </c>
      <c r="B23" s="28" t="s">
        <v>77</v>
      </c>
      <c r="C23" s="28" t="s">
        <v>78</v>
      </c>
      <c r="D23" s="28" t="s">
        <v>79</v>
      </c>
    </row>
    <row r="24" spans="1:8" x14ac:dyDescent="0.3">
      <c r="A24" s="44">
        <v>21</v>
      </c>
      <c r="B24" s="12" t="s">
        <v>80</v>
      </c>
      <c r="C24" s="12" t="s">
        <v>81</v>
      </c>
      <c r="D24" s="12" t="s">
        <v>82</v>
      </c>
    </row>
    <row r="25" spans="1:8" x14ac:dyDescent="0.3">
      <c r="A25" s="45">
        <v>22</v>
      </c>
      <c r="B25" s="20" t="s">
        <v>83</v>
      </c>
      <c r="C25" s="20" t="s">
        <v>84</v>
      </c>
      <c r="D25" s="20" t="s">
        <v>85</v>
      </c>
    </row>
    <row r="26" spans="1:8" x14ac:dyDescent="0.3">
      <c r="A26" s="41">
        <v>23</v>
      </c>
      <c r="B26" s="24" t="s">
        <v>86</v>
      </c>
      <c r="C26" s="41">
        <v>113450014</v>
      </c>
      <c r="D26" s="24" t="s">
        <v>201</v>
      </c>
      <c r="E26" s="42">
        <v>85</v>
      </c>
      <c r="F26" s="39" t="s">
        <v>185</v>
      </c>
      <c r="G26" s="39" t="s">
        <v>251</v>
      </c>
      <c r="H26" t="s">
        <v>250</v>
      </c>
    </row>
    <row r="27" spans="1:8" x14ac:dyDescent="0.3">
      <c r="A27" s="45">
        <v>24</v>
      </c>
      <c r="B27" s="20" t="s">
        <v>88</v>
      </c>
      <c r="C27" s="20" t="s">
        <v>89</v>
      </c>
      <c r="D27" s="20" t="s">
        <v>90</v>
      </c>
      <c r="E27" s="42">
        <v>95</v>
      </c>
      <c r="F27" s="39" t="s">
        <v>242</v>
      </c>
      <c r="G27" s="39" t="s">
        <v>243</v>
      </c>
      <c r="H27" t="s">
        <v>241</v>
      </c>
    </row>
    <row r="28" spans="1:8" x14ac:dyDescent="0.3">
      <c r="A28" s="46">
        <v>25</v>
      </c>
      <c r="B28" s="28" t="s">
        <v>88</v>
      </c>
      <c r="C28" s="28" t="s">
        <v>91</v>
      </c>
      <c r="D28" s="28" t="s">
        <v>92</v>
      </c>
    </row>
    <row r="29" spans="1:8" x14ac:dyDescent="0.3">
      <c r="A29" s="44">
        <v>26</v>
      </c>
      <c r="B29" s="12" t="s">
        <v>88</v>
      </c>
      <c r="C29" s="12" t="s">
        <v>93</v>
      </c>
      <c r="D29" s="12" t="s">
        <v>94</v>
      </c>
    </row>
    <row r="30" spans="1:8" x14ac:dyDescent="0.3">
      <c r="A30" s="45">
        <v>27</v>
      </c>
      <c r="B30" s="20" t="s">
        <v>95</v>
      </c>
      <c r="C30" s="20" t="s">
        <v>96</v>
      </c>
      <c r="D30" s="20" t="s">
        <v>97</v>
      </c>
    </row>
    <row r="31" spans="1:8" x14ac:dyDescent="0.3">
      <c r="A31" s="41">
        <v>28</v>
      </c>
      <c r="B31" s="24" t="s">
        <v>88</v>
      </c>
      <c r="C31" s="24" t="s">
        <v>98</v>
      </c>
      <c r="D31" s="24" t="s">
        <v>99</v>
      </c>
      <c r="E31" s="42">
        <v>95</v>
      </c>
      <c r="F31" s="39" t="s">
        <v>209</v>
      </c>
      <c r="G31" s="39" t="s">
        <v>290</v>
      </c>
      <c r="H31" t="s">
        <v>289</v>
      </c>
    </row>
    <row r="32" spans="1:8" x14ac:dyDescent="0.3">
      <c r="A32" s="45">
        <v>29</v>
      </c>
      <c r="B32" s="20" t="s">
        <v>95</v>
      </c>
      <c r="C32" s="20" t="s">
        <v>100</v>
      </c>
      <c r="D32" s="20" t="s">
        <v>101</v>
      </c>
      <c r="E32" s="42">
        <v>95</v>
      </c>
      <c r="F32" s="39" t="s">
        <v>209</v>
      </c>
      <c r="G32" s="39" t="s">
        <v>290</v>
      </c>
      <c r="H32" t="s">
        <v>289</v>
      </c>
    </row>
    <row r="33" spans="1:8" x14ac:dyDescent="0.3">
      <c r="A33" s="46">
        <v>30</v>
      </c>
      <c r="B33" s="28" t="s">
        <v>102</v>
      </c>
      <c r="C33" s="28" t="s">
        <v>103</v>
      </c>
      <c r="D33" s="28" t="s">
        <v>104</v>
      </c>
    </row>
    <row r="34" spans="1:8" x14ac:dyDescent="0.3">
      <c r="A34" s="44">
        <v>31</v>
      </c>
      <c r="B34" s="12" t="s">
        <v>105</v>
      </c>
      <c r="C34" s="12" t="s">
        <v>106</v>
      </c>
      <c r="D34" s="12" t="s">
        <v>107</v>
      </c>
    </row>
    <row r="35" spans="1:8" x14ac:dyDescent="0.3">
      <c r="A35" s="45">
        <v>32</v>
      </c>
      <c r="B35" s="20" t="s">
        <v>108</v>
      </c>
      <c r="C35" s="20" t="s">
        <v>109</v>
      </c>
      <c r="D35" s="20" t="s">
        <v>110</v>
      </c>
      <c r="E35" s="42">
        <v>90</v>
      </c>
      <c r="F35" s="39" t="s">
        <v>244</v>
      </c>
      <c r="G35" s="39" t="s">
        <v>245</v>
      </c>
      <c r="H35" t="s">
        <v>252</v>
      </c>
    </row>
    <row r="36" spans="1:8" x14ac:dyDescent="0.3">
      <c r="A36" s="41">
        <v>33</v>
      </c>
      <c r="B36" s="24" t="s">
        <v>111</v>
      </c>
      <c r="C36" s="24" t="s">
        <v>112</v>
      </c>
      <c r="D36" s="24" t="s">
        <v>113</v>
      </c>
    </row>
    <row r="37" spans="1:8" x14ac:dyDescent="0.3">
      <c r="A37" s="45">
        <v>34</v>
      </c>
      <c r="B37" s="20" t="s">
        <v>114</v>
      </c>
      <c r="C37" s="20" t="s">
        <v>115</v>
      </c>
      <c r="D37" s="20" t="s">
        <v>116</v>
      </c>
    </row>
    <row r="38" spans="1:8" x14ac:dyDescent="0.3">
      <c r="A38" s="46">
        <v>35</v>
      </c>
      <c r="B38" s="28" t="s">
        <v>117</v>
      </c>
      <c r="C38" s="28" t="s">
        <v>118</v>
      </c>
      <c r="D38" s="28" t="s">
        <v>119</v>
      </c>
    </row>
    <row r="39" spans="1:8" x14ac:dyDescent="0.3">
      <c r="A39" s="44">
        <v>36</v>
      </c>
      <c r="B39" s="12" t="s">
        <v>120</v>
      </c>
      <c r="C39" s="12" t="s">
        <v>121</v>
      </c>
      <c r="D39" s="12" t="s">
        <v>122</v>
      </c>
    </row>
    <row r="40" spans="1:8" x14ac:dyDescent="0.3">
      <c r="A40" s="45">
        <v>37</v>
      </c>
      <c r="B40" s="20" t="s">
        <v>123</v>
      </c>
      <c r="C40" s="20" t="s">
        <v>124</v>
      </c>
      <c r="D40" s="20" t="s">
        <v>125</v>
      </c>
    </row>
    <row r="41" spans="1:8" x14ac:dyDescent="0.3">
      <c r="A41" s="41">
        <v>38</v>
      </c>
      <c r="B41" s="24" t="s">
        <v>123</v>
      </c>
      <c r="C41" s="24" t="s">
        <v>126</v>
      </c>
      <c r="D41" s="24" t="s">
        <v>127</v>
      </c>
    </row>
    <row r="42" spans="1:8" x14ac:dyDescent="0.3">
      <c r="A42" s="45">
        <v>39</v>
      </c>
      <c r="B42" s="20" t="s">
        <v>128</v>
      </c>
      <c r="C42" s="20" t="s">
        <v>129</v>
      </c>
      <c r="D42" s="20" t="s">
        <v>130</v>
      </c>
      <c r="E42" s="42">
        <v>70</v>
      </c>
      <c r="F42" s="39" t="s">
        <v>293</v>
      </c>
      <c r="G42" s="39" t="s">
        <v>291</v>
      </c>
      <c r="H42" s="39" t="s">
        <v>292</v>
      </c>
    </row>
    <row r="43" spans="1:8" x14ac:dyDescent="0.3">
      <c r="A43" s="46">
        <v>40</v>
      </c>
      <c r="B43" s="28" t="s">
        <v>128</v>
      </c>
      <c r="C43" s="28" t="s">
        <v>131</v>
      </c>
      <c r="D43" s="28" t="s">
        <v>132</v>
      </c>
    </row>
    <row r="44" spans="1:8" x14ac:dyDescent="0.3">
      <c r="A44" s="44">
        <v>41</v>
      </c>
      <c r="B44" s="12" t="s">
        <v>133</v>
      </c>
      <c r="C44" s="12" t="s">
        <v>134</v>
      </c>
      <c r="D44" s="12" t="s">
        <v>135</v>
      </c>
      <c r="E44" s="42">
        <v>95</v>
      </c>
      <c r="F44" s="39" t="s">
        <v>242</v>
      </c>
      <c r="G44" s="39" t="s">
        <v>243</v>
      </c>
      <c r="H44" t="s">
        <v>241</v>
      </c>
    </row>
    <row r="45" spans="1:8" x14ac:dyDescent="0.3">
      <c r="A45" s="45">
        <v>42</v>
      </c>
      <c r="B45" s="20" t="s">
        <v>133</v>
      </c>
      <c r="C45" s="20" t="s">
        <v>136</v>
      </c>
      <c r="D45" s="20" t="s">
        <v>137</v>
      </c>
    </row>
    <row r="46" spans="1:8" x14ac:dyDescent="0.3">
      <c r="A46" s="41">
        <v>43</v>
      </c>
      <c r="B46" s="24" t="s">
        <v>133</v>
      </c>
      <c r="C46" s="24" t="s">
        <v>138</v>
      </c>
      <c r="D46" s="24" t="s">
        <v>139</v>
      </c>
      <c r="E46" s="42">
        <v>98</v>
      </c>
      <c r="F46" s="39" t="s">
        <v>242</v>
      </c>
      <c r="G46" s="39" t="s">
        <v>243</v>
      </c>
      <c r="H46" t="s">
        <v>253</v>
      </c>
    </row>
    <row r="47" spans="1:8" x14ac:dyDescent="0.3">
      <c r="A47" s="45">
        <v>44</v>
      </c>
      <c r="B47" s="20" t="s">
        <v>133</v>
      </c>
      <c r="C47" s="20" t="s">
        <v>140</v>
      </c>
      <c r="D47" s="20" t="s">
        <v>141</v>
      </c>
      <c r="E47" s="40">
        <v>90</v>
      </c>
      <c r="F47" s="39" t="s">
        <v>188</v>
      </c>
      <c r="G47" s="39" t="s">
        <v>194</v>
      </c>
      <c r="H47" t="s">
        <v>270</v>
      </c>
    </row>
    <row r="48" spans="1:8" x14ac:dyDescent="0.3">
      <c r="A48" s="46">
        <v>45</v>
      </c>
      <c r="B48" s="28" t="s">
        <v>133</v>
      </c>
      <c r="C48" s="28" t="s">
        <v>142</v>
      </c>
      <c r="D48" s="28" t="s">
        <v>143</v>
      </c>
    </row>
    <row r="49" spans="1:8" x14ac:dyDescent="0.3">
      <c r="A49" s="44">
        <v>46</v>
      </c>
      <c r="B49" s="12" t="s">
        <v>144</v>
      </c>
      <c r="C49" s="12" t="s">
        <v>145</v>
      </c>
      <c r="D49" s="12" t="s">
        <v>146</v>
      </c>
      <c r="E49" s="42">
        <v>70</v>
      </c>
      <c r="F49" s="39" t="s">
        <v>234</v>
      </c>
      <c r="G49" s="39" t="s">
        <v>295</v>
      </c>
      <c r="H49" t="s">
        <v>294</v>
      </c>
    </row>
    <row r="56" spans="1:8" x14ac:dyDescent="0.3">
      <c r="A56" s="47" t="s">
        <v>150</v>
      </c>
      <c r="B56" s="36" t="s">
        <v>148</v>
      </c>
      <c r="C56" s="36" t="s">
        <v>151</v>
      </c>
      <c r="D56" s="36" t="s">
        <v>152</v>
      </c>
      <c r="E56" s="36" t="s">
        <v>181</v>
      </c>
    </row>
    <row r="57" spans="1:8" ht="32.4" x14ac:dyDescent="0.3">
      <c r="A57" s="48" t="s">
        <v>153</v>
      </c>
      <c r="B57" s="37" t="s">
        <v>154</v>
      </c>
      <c r="C57" s="37" t="s">
        <v>155</v>
      </c>
      <c r="D57" s="37" t="s">
        <v>156</v>
      </c>
      <c r="E57" s="37" t="s">
        <v>155</v>
      </c>
    </row>
    <row r="58" spans="1:8" ht="32.4" x14ac:dyDescent="0.3">
      <c r="A58" s="48" t="s">
        <v>157</v>
      </c>
      <c r="B58" s="37" t="s">
        <v>158</v>
      </c>
      <c r="C58" s="37" t="s">
        <v>225</v>
      </c>
      <c r="D58" s="37" t="s">
        <v>160</v>
      </c>
      <c r="E58" s="37" t="s">
        <v>161</v>
      </c>
    </row>
    <row r="59" spans="1:8" ht="32.4" x14ac:dyDescent="0.3">
      <c r="A59" s="48" t="s">
        <v>162</v>
      </c>
      <c r="B59" s="37" t="s">
        <v>163</v>
      </c>
      <c r="C59" s="37" t="s">
        <v>208</v>
      </c>
      <c r="D59" s="37" t="s">
        <v>165</v>
      </c>
      <c r="E59" s="37" t="s">
        <v>189</v>
      </c>
    </row>
    <row r="60" spans="1:8" ht="32.4" x14ac:dyDescent="0.3">
      <c r="A60" s="48" t="s">
        <v>166</v>
      </c>
      <c r="B60" s="37" t="s">
        <v>167</v>
      </c>
      <c r="C60" s="37" t="s">
        <v>168</v>
      </c>
      <c r="D60" s="37" t="s">
        <v>169</v>
      </c>
      <c r="E60" s="37" t="s">
        <v>170</v>
      </c>
    </row>
    <row r="61" spans="1:8" ht="32.4" x14ac:dyDescent="0.3">
      <c r="A61" s="48" t="s">
        <v>171</v>
      </c>
      <c r="B61" s="37" t="s">
        <v>172</v>
      </c>
      <c r="C61" s="37" t="s">
        <v>173</v>
      </c>
      <c r="D61" s="37" t="s">
        <v>174</v>
      </c>
      <c r="E61" s="37" t="s">
        <v>175</v>
      </c>
    </row>
    <row r="62" spans="1:8" ht="32.4" x14ac:dyDescent="0.3">
      <c r="A62" s="48" t="s">
        <v>176</v>
      </c>
      <c r="B62" s="37" t="s">
        <v>177</v>
      </c>
      <c r="C62" s="37" t="s">
        <v>178</v>
      </c>
      <c r="D62" s="37" t="s">
        <v>179</v>
      </c>
      <c r="E62" s="37" t="s">
        <v>180</v>
      </c>
    </row>
    <row r="63" spans="1:8" ht="81" x14ac:dyDescent="0.3">
      <c r="A63" s="48" t="s">
        <v>188</v>
      </c>
      <c r="B63" s="37" t="s">
        <v>195</v>
      </c>
      <c r="C63" s="37" t="s">
        <v>196</v>
      </c>
      <c r="D63" s="37" t="s">
        <v>197</v>
      </c>
      <c r="E63" s="37" t="s">
        <v>194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C21F-48CE-4DE8-A180-5203FAEBD78A}">
  <dimension ref="A2:H63"/>
  <sheetViews>
    <sheetView topLeftCell="C30" workbookViewId="0">
      <selection activeCell="G38" sqref="G38"/>
    </sheetView>
  </sheetViews>
  <sheetFormatPr defaultRowHeight="16.2" x14ac:dyDescent="0.3"/>
  <cols>
    <col min="2" max="2" width="25.33203125" customWidth="1"/>
    <col min="3" max="3" width="16.88671875" customWidth="1"/>
    <col min="5" max="5" width="17.5546875" customWidth="1"/>
    <col min="6" max="6" width="18.33203125" customWidth="1"/>
    <col min="7" max="7" width="44.88671875" customWidth="1"/>
    <col min="8" max="8" width="148.6640625" customWidth="1"/>
  </cols>
  <sheetData>
    <row r="2" spans="1:8" ht="16.8" thickBot="1" x14ac:dyDescent="0.35"/>
    <row r="3" spans="1:8" ht="16.8" thickBot="1" x14ac:dyDescent="0.35">
      <c r="A3" s="7" t="s">
        <v>149</v>
      </c>
      <c r="B3" s="7" t="s">
        <v>3</v>
      </c>
      <c r="C3" s="7" t="s">
        <v>4</v>
      </c>
      <c r="D3" s="7" t="s">
        <v>5</v>
      </c>
      <c r="E3" s="7" t="s">
        <v>240</v>
      </c>
      <c r="F3" s="7" t="s">
        <v>148</v>
      </c>
      <c r="G3" s="7" t="s">
        <v>182</v>
      </c>
      <c r="H3" s="9" t="s">
        <v>186</v>
      </c>
    </row>
    <row r="4" spans="1:8" x14ac:dyDescent="0.3">
      <c r="A4" s="44">
        <v>1</v>
      </c>
      <c r="B4" s="12" t="s">
        <v>23</v>
      </c>
      <c r="C4" s="12" t="s">
        <v>24</v>
      </c>
      <c r="D4" s="12" t="s">
        <v>25</v>
      </c>
    </row>
    <row r="5" spans="1:8" x14ac:dyDescent="0.3">
      <c r="A5" s="45">
        <v>2</v>
      </c>
      <c r="B5" s="20" t="s">
        <v>27</v>
      </c>
      <c r="C5" s="20" t="s">
        <v>28</v>
      </c>
      <c r="D5" s="20" t="s">
        <v>29</v>
      </c>
    </row>
    <row r="6" spans="1:8" x14ac:dyDescent="0.3">
      <c r="A6" s="41">
        <v>3</v>
      </c>
      <c r="B6" s="24" t="s">
        <v>30</v>
      </c>
      <c r="C6" s="24" t="s">
        <v>31</v>
      </c>
      <c r="D6" s="24" t="s">
        <v>32</v>
      </c>
    </row>
    <row r="7" spans="1:8" x14ac:dyDescent="0.3">
      <c r="A7" s="45">
        <v>4</v>
      </c>
      <c r="B7" s="20" t="s">
        <v>33</v>
      </c>
      <c r="C7" s="20" t="s">
        <v>34</v>
      </c>
      <c r="D7" s="20" t="s">
        <v>35</v>
      </c>
    </row>
    <row r="8" spans="1:8" x14ac:dyDescent="0.3">
      <c r="A8" s="46">
        <v>5</v>
      </c>
      <c r="B8" s="28" t="s">
        <v>36</v>
      </c>
      <c r="C8" s="28" t="s">
        <v>37</v>
      </c>
      <c r="D8" s="28" t="s">
        <v>38</v>
      </c>
    </row>
    <row r="9" spans="1:8" x14ac:dyDescent="0.3">
      <c r="A9" s="44">
        <v>6</v>
      </c>
      <c r="B9" s="12" t="s">
        <v>39</v>
      </c>
      <c r="C9" s="12" t="s">
        <v>40</v>
      </c>
      <c r="D9" s="12" t="s">
        <v>41</v>
      </c>
      <c r="E9" s="42">
        <v>95</v>
      </c>
      <c r="F9" s="39" t="s">
        <v>210</v>
      </c>
      <c r="G9" s="39" t="s">
        <v>255</v>
      </c>
      <c r="H9" t="s">
        <v>254</v>
      </c>
    </row>
    <row r="10" spans="1:8" x14ac:dyDescent="0.3">
      <c r="A10" s="45">
        <v>7</v>
      </c>
      <c r="B10" s="20" t="s">
        <v>42</v>
      </c>
      <c r="C10" s="20" t="s">
        <v>43</v>
      </c>
      <c r="D10" s="20" t="s">
        <v>44</v>
      </c>
    </row>
    <row r="11" spans="1:8" x14ac:dyDescent="0.3">
      <c r="A11" s="41">
        <v>8</v>
      </c>
      <c r="B11" s="24" t="s">
        <v>27</v>
      </c>
      <c r="C11" s="41">
        <v>111701035</v>
      </c>
      <c r="D11" s="24" t="s">
        <v>200</v>
      </c>
    </row>
    <row r="12" spans="1:8" x14ac:dyDescent="0.3">
      <c r="A12" s="45">
        <v>9</v>
      </c>
      <c r="B12" s="20" t="s">
        <v>46</v>
      </c>
      <c r="C12" s="20" t="s">
        <v>47</v>
      </c>
      <c r="D12" s="20" t="s">
        <v>48</v>
      </c>
    </row>
    <row r="13" spans="1:8" x14ac:dyDescent="0.3">
      <c r="A13" s="46">
        <v>10</v>
      </c>
      <c r="B13" s="28" t="s">
        <v>49</v>
      </c>
      <c r="C13" s="28" t="s">
        <v>50</v>
      </c>
      <c r="D13" s="28" t="s">
        <v>51</v>
      </c>
      <c r="E13" s="40">
        <v>0</v>
      </c>
      <c r="F13" s="39" t="s">
        <v>184</v>
      </c>
      <c r="G13" s="39" t="s">
        <v>183</v>
      </c>
    </row>
    <row r="14" spans="1:8" x14ac:dyDescent="0.3">
      <c r="A14" s="44">
        <v>11</v>
      </c>
      <c r="B14" s="12" t="s">
        <v>52</v>
      </c>
      <c r="C14" s="12" t="s">
        <v>53</v>
      </c>
      <c r="D14" s="12" t="s">
        <v>54</v>
      </c>
      <c r="E14" s="40">
        <v>0</v>
      </c>
      <c r="F14" s="39" t="s">
        <v>184</v>
      </c>
      <c r="G14" s="39" t="s">
        <v>183</v>
      </c>
    </row>
    <row r="15" spans="1:8" x14ac:dyDescent="0.3">
      <c r="A15" s="45">
        <v>12</v>
      </c>
      <c r="B15" s="20" t="s">
        <v>52</v>
      </c>
      <c r="C15" s="20" t="s">
        <v>56</v>
      </c>
      <c r="D15" s="20" t="s">
        <v>57</v>
      </c>
    </row>
    <row r="16" spans="1:8" x14ac:dyDescent="0.3">
      <c r="A16" s="41">
        <v>13</v>
      </c>
      <c r="B16" s="24" t="s">
        <v>58</v>
      </c>
      <c r="C16" s="24" t="s">
        <v>59</v>
      </c>
      <c r="D16" s="24" t="s">
        <v>60</v>
      </c>
    </row>
    <row r="17" spans="1:8" x14ac:dyDescent="0.3">
      <c r="A17" s="45">
        <v>14</v>
      </c>
      <c r="B17" s="20" t="s">
        <v>58</v>
      </c>
      <c r="C17" s="20" t="s">
        <v>61</v>
      </c>
      <c r="D17" s="20" t="s">
        <v>62</v>
      </c>
    </row>
    <row r="18" spans="1:8" x14ac:dyDescent="0.3">
      <c r="A18" s="46">
        <v>15</v>
      </c>
      <c r="B18" s="28" t="s">
        <v>63</v>
      </c>
      <c r="C18" s="28" t="s">
        <v>64</v>
      </c>
      <c r="D18" s="28" t="s">
        <v>65</v>
      </c>
    </row>
    <row r="19" spans="1:8" x14ac:dyDescent="0.3">
      <c r="A19" s="44">
        <v>16</v>
      </c>
      <c r="B19" s="12" t="s">
        <v>66</v>
      </c>
      <c r="C19" s="12" t="s">
        <v>67</v>
      </c>
      <c r="D19" s="12" t="s">
        <v>68</v>
      </c>
    </row>
    <row r="20" spans="1:8" x14ac:dyDescent="0.3">
      <c r="A20" s="45">
        <v>17</v>
      </c>
      <c r="B20" s="20" t="s">
        <v>69</v>
      </c>
      <c r="C20" s="20" t="s">
        <v>70</v>
      </c>
      <c r="D20" s="20" t="s">
        <v>71</v>
      </c>
    </row>
    <row r="21" spans="1:8" x14ac:dyDescent="0.3">
      <c r="A21" s="41">
        <v>18</v>
      </c>
      <c r="B21" s="24" t="s">
        <v>69</v>
      </c>
      <c r="C21" s="24" t="s">
        <v>72</v>
      </c>
      <c r="D21" s="24" t="s">
        <v>73</v>
      </c>
      <c r="H21" t="s">
        <v>257</v>
      </c>
    </row>
    <row r="22" spans="1:8" x14ac:dyDescent="0.3">
      <c r="A22" s="45">
        <v>19</v>
      </c>
      <c r="B22" s="20" t="s">
        <v>74</v>
      </c>
      <c r="C22" s="20" t="s">
        <v>75</v>
      </c>
      <c r="D22" s="20" t="s">
        <v>76</v>
      </c>
    </row>
    <row r="23" spans="1:8" x14ac:dyDescent="0.3">
      <c r="A23" s="46">
        <v>20</v>
      </c>
      <c r="B23" s="28" t="s">
        <v>77</v>
      </c>
      <c r="C23" s="28" t="s">
        <v>78</v>
      </c>
      <c r="D23" s="28" t="s">
        <v>79</v>
      </c>
    </row>
    <row r="24" spans="1:8" x14ac:dyDescent="0.3">
      <c r="A24" s="44">
        <v>21</v>
      </c>
      <c r="B24" s="12" t="s">
        <v>80</v>
      </c>
      <c r="C24" s="12" t="s">
        <v>81</v>
      </c>
      <c r="D24" s="12" t="s">
        <v>82</v>
      </c>
      <c r="E24" s="42">
        <v>95</v>
      </c>
      <c r="F24" s="39" t="s">
        <v>203</v>
      </c>
      <c r="G24" s="39" t="s">
        <v>258</v>
      </c>
      <c r="H24" t="s">
        <v>262</v>
      </c>
    </row>
    <row r="25" spans="1:8" x14ac:dyDescent="0.3">
      <c r="A25" s="45">
        <v>22</v>
      </c>
      <c r="B25" s="20" t="s">
        <v>83</v>
      </c>
      <c r="C25" s="20" t="s">
        <v>84</v>
      </c>
      <c r="D25" s="20" t="s">
        <v>85</v>
      </c>
      <c r="E25" s="42"/>
      <c r="F25" s="39"/>
      <c r="G25" s="39"/>
      <c r="H25" s="39"/>
    </row>
    <row r="26" spans="1:8" x14ac:dyDescent="0.3">
      <c r="A26" s="41">
        <v>23</v>
      </c>
      <c r="B26" s="24" t="s">
        <v>86</v>
      </c>
      <c r="C26" s="41">
        <v>113450014</v>
      </c>
      <c r="D26" s="24" t="s">
        <v>201</v>
      </c>
      <c r="E26" s="42">
        <v>95</v>
      </c>
      <c r="F26" t="s">
        <v>187</v>
      </c>
      <c r="G26" t="s">
        <v>259</v>
      </c>
      <c r="H26" t="s">
        <v>260</v>
      </c>
    </row>
    <row r="27" spans="1:8" x14ac:dyDescent="0.3">
      <c r="A27" s="45">
        <v>24</v>
      </c>
      <c r="B27" s="20" t="s">
        <v>88</v>
      </c>
      <c r="C27" s="20" t="s">
        <v>89</v>
      </c>
      <c r="D27" s="20" t="s">
        <v>90</v>
      </c>
      <c r="E27" s="42">
        <v>85</v>
      </c>
      <c r="F27" s="39" t="s">
        <v>261</v>
      </c>
      <c r="G27" s="39" t="s">
        <v>263</v>
      </c>
      <c r="H27" t="s">
        <v>264</v>
      </c>
    </row>
    <row r="28" spans="1:8" x14ac:dyDescent="0.3">
      <c r="A28" s="46">
        <v>25</v>
      </c>
      <c r="B28" s="28" t="s">
        <v>88</v>
      </c>
      <c r="C28" s="28" t="s">
        <v>91</v>
      </c>
      <c r="D28" s="28" t="s">
        <v>92</v>
      </c>
      <c r="H28" t="s">
        <v>256</v>
      </c>
    </row>
    <row r="29" spans="1:8" x14ac:dyDescent="0.3">
      <c r="A29" s="44">
        <v>26</v>
      </c>
      <c r="B29" s="12" t="s">
        <v>88</v>
      </c>
      <c r="C29" s="12" t="s">
        <v>93</v>
      </c>
      <c r="D29" s="12" t="s">
        <v>94</v>
      </c>
    </row>
    <row r="30" spans="1:8" x14ac:dyDescent="0.3">
      <c r="A30" s="45">
        <v>27</v>
      </c>
      <c r="B30" s="20" t="s">
        <v>95</v>
      </c>
      <c r="C30" s="20" t="s">
        <v>96</v>
      </c>
      <c r="D30" s="20" t="s">
        <v>97</v>
      </c>
      <c r="E30" s="42">
        <v>95</v>
      </c>
      <c r="F30" s="39" t="s">
        <v>209</v>
      </c>
      <c r="G30" s="39" t="s">
        <v>272</v>
      </c>
      <c r="H30" t="s">
        <v>273</v>
      </c>
    </row>
    <row r="31" spans="1:8" x14ac:dyDescent="0.3">
      <c r="A31" s="41">
        <v>28</v>
      </c>
      <c r="B31" s="24" t="s">
        <v>88</v>
      </c>
      <c r="C31" s="24" t="s">
        <v>98</v>
      </c>
      <c r="D31" s="24" t="s">
        <v>99</v>
      </c>
      <c r="E31" s="42"/>
    </row>
    <row r="32" spans="1:8" x14ac:dyDescent="0.3">
      <c r="A32" s="45">
        <v>29</v>
      </c>
      <c r="B32" s="20" t="s">
        <v>95</v>
      </c>
      <c r="C32" s="20" t="s">
        <v>100</v>
      </c>
      <c r="D32" s="20" t="s">
        <v>101</v>
      </c>
    </row>
    <row r="33" spans="1:8" x14ac:dyDescent="0.3">
      <c r="A33" s="46">
        <v>30</v>
      </c>
      <c r="B33" s="28" t="s">
        <v>102</v>
      </c>
      <c r="C33" s="28" t="s">
        <v>103</v>
      </c>
      <c r="D33" s="28" t="s">
        <v>104</v>
      </c>
    </row>
    <row r="34" spans="1:8" x14ac:dyDescent="0.3">
      <c r="A34" s="44">
        <v>31</v>
      </c>
      <c r="B34" s="12" t="s">
        <v>105</v>
      </c>
      <c r="C34" s="12" t="s">
        <v>106</v>
      </c>
      <c r="D34" s="12" t="s">
        <v>107</v>
      </c>
    </row>
    <row r="35" spans="1:8" x14ac:dyDescent="0.3">
      <c r="A35" s="45">
        <v>32</v>
      </c>
      <c r="B35" s="20" t="s">
        <v>108</v>
      </c>
      <c r="C35" s="20" t="s">
        <v>109</v>
      </c>
      <c r="D35" s="20" t="s">
        <v>110</v>
      </c>
    </row>
    <row r="36" spans="1:8" x14ac:dyDescent="0.3">
      <c r="A36" s="41">
        <v>33</v>
      </c>
      <c r="B36" s="24" t="s">
        <v>111</v>
      </c>
      <c r="C36" s="24" t="s">
        <v>112</v>
      </c>
      <c r="D36" s="24" t="s">
        <v>113</v>
      </c>
    </row>
    <row r="37" spans="1:8" x14ac:dyDescent="0.3">
      <c r="A37" s="45">
        <v>34</v>
      </c>
      <c r="B37" s="20" t="s">
        <v>114</v>
      </c>
      <c r="C37" s="20" t="s">
        <v>115</v>
      </c>
      <c r="D37" s="20" t="s">
        <v>116</v>
      </c>
    </row>
    <row r="38" spans="1:8" x14ac:dyDescent="0.3">
      <c r="A38" s="46">
        <v>35</v>
      </c>
      <c r="B38" s="28" t="s">
        <v>117</v>
      </c>
      <c r="C38" s="28" t="s">
        <v>118</v>
      </c>
      <c r="D38" s="28" t="s">
        <v>119</v>
      </c>
      <c r="E38" s="42"/>
      <c r="F38" s="39"/>
      <c r="G38" s="39"/>
    </row>
    <row r="39" spans="1:8" x14ac:dyDescent="0.3">
      <c r="A39" s="44">
        <v>36</v>
      </c>
      <c r="B39" s="12" t="s">
        <v>120</v>
      </c>
      <c r="C39" s="12" t="s">
        <v>121</v>
      </c>
      <c r="D39" s="12" t="s">
        <v>122</v>
      </c>
    </row>
    <row r="40" spans="1:8" x14ac:dyDescent="0.3">
      <c r="A40" s="45">
        <v>37</v>
      </c>
      <c r="B40" s="20" t="s">
        <v>123</v>
      </c>
      <c r="C40" s="20" t="s">
        <v>124</v>
      </c>
      <c r="D40" s="20" t="s">
        <v>125</v>
      </c>
      <c r="E40" s="42">
        <v>95</v>
      </c>
      <c r="F40" s="39" t="s">
        <v>242</v>
      </c>
      <c r="G40" s="39" t="s">
        <v>265</v>
      </c>
      <c r="H40" s="39" t="s">
        <v>266</v>
      </c>
    </row>
    <row r="41" spans="1:8" x14ac:dyDescent="0.3">
      <c r="A41" s="41">
        <v>38</v>
      </c>
      <c r="B41" s="24" t="s">
        <v>123</v>
      </c>
      <c r="C41" s="24" t="s">
        <v>126</v>
      </c>
      <c r="D41" s="24" t="s">
        <v>127</v>
      </c>
    </row>
    <row r="42" spans="1:8" x14ac:dyDescent="0.3">
      <c r="A42" s="45">
        <v>39</v>
      </c>
      <c r="B42" s="20" t="s">
        <v>128</v>
      </c>
      <c r="C42" s="20" t="s">
        <v>129</v>
      </c>
      <c r="D42" s="20" t="s">
        <v>130</v>
      </c>
      <c r="E42" s="42">
        <v>75</v>
      </c>
      <c r="F42" s="39" t="s">
        <v>269</v>
      </c>
      <c r="G42" s="39" t="s">
        <v>268</v>
      </c>
      <c r="H42" t="s">
        <v>267</v>
      </c>
    </row>
    <row r="43" spans="1:8" x14ac:dyDescent="0.3">
      <c r="A43" s="46">
        <v>40</v>
      </c>
      <c r="B43" s="28" t="s">
        <v>128</v>
      </c>
      <c r="C43" s="28" t="s">
        <v>131</v>
      </c>
      <c r="D43" s="28" t="s">
        <v>132</v>
      </c>
    </row>
    <row r="44" spans="1:8" x14ac:dyDescent="0.3">
      <c r="A44" s="44">
        <v>41</v>
      </c>
      <c r="B44" s="12" t="s">
        <v>133</v>
      </c>
      <c r="C44" s="12" t="s">
        <v>134</v>
      </c>
      <c r="D44" s="12" t="s">
        <v>135</v>
      </c>
      <c r="E44" s="40">
        <v>90</v>
      </c>
      <c r="F44" s="39" t="s">
        <v>188</v>
      </c>
      <c r="G44" s="39" t="s">
        <v>194</v>
      </c>
      <c r="H44" t="s">
        <v>270</v>
      </c>
    </row>
    <row r="45" spans="1:8" x14ac:dyDescent="0.3">
      <c r="A45" s="45">
        <v>42</v>
      </c>
      <c r="B45" s="20" t="s">
        <v>133</v>
      </c>
      <c r="C45" s="20" t="s">
        <v>136</v>
      </c>
      <c r="D45" s="20" t="s">
        <v>137</v>
      </c>
    </row>
    <row r="46" spans="1:8" x14ac:dyDescent="0.3">
      <c r="A46" s="41">
        <v>43</v>
      </c>
      <c r="B46" s="24" t="s">
        <v>133</v>
      </c>
      <c r="C46" s="24" t="s">
        <v>138</v>
      </c>
      <c r="D46" s="24" t="s">
        <v>139</v>
      </c>
      <c r="E46" s="42">
        <v>95</v>
      </c>
      <c r="F46" s="39" t="s">
        <v>209</v>
      </c>
      <c r="G46" s="39" t="s">
        <v>272</v>
      </c>
      <c r="H46" t="s">
        <v>271</v>
      </c>
    </row>
    <row r="47" spans="1:8" x14ac:dyDescent="0.3">
      <c r="A47" s="45">
        <v>44</v>
      </c>
      <c r="B47" s="20" t="s">
        <v>133</v>
      </c>
      <c r="C47" s="20" t="s">
        <v>140</v>
      </c>
      <c r="D47" s="20" t="s">
        <v>141</v>
      </c>
      <c r="E47" s="40">
        <v>90</v>
      </c>
      <c r="F47" s="39" t="s">
        <v>188</v>
      </c>
      <c r="G47" s="39" t="s">
        <v>194</v>
      </c>
      <c r="H47" t="s">
        <v>270</v>
      </c>
    </row>
    <row r="48" spans="1:8" x14ac:dyDescent="0.3">
      <c r="A48" s="46">
        <v>45</v>
      </c>
      <c r="B48" s="28" t="s">
        <v>133</v>
      </c>
      <c r="C48" s="28" t="s">
        <v>142</v>
      </c>
      <c r="D48" s="28" t="s">
        <v>143</v>
      </c>
      <c r="E48" s="42"/>
    </row>
    <row r="49" spans="1:8" x14ac:dyDescent="0.3">
      <c r="A49" s="44">
        <v>46</v>
      </c>
      <c r="B49" s="12" t="s">
        <v>144</v>
      </c>
      <c r="C49" s="12" t="s">
        <v>145</v>
      </c>
      <c r="D49" s="12" t="s">
        <v>146</v>
      </c>
      <c r="E49" s="42">
        <v>95</v>
      </c>
      <c r="F49" s="39" t="s">
        <v>187</v>
      </c>
      <c r="G49" s="39" t="s">
        <v>275</v>
      </c>
      <c r="H49" t="s">
        <v>274</v>
      </c>
    </row>
    <row r="56" spans="1:8" ht="32.4" x14ac:dyDescent="0.3">
      <c r="A56" s="47" t="s">
        <v>150</v>
      </c>
      <c r="B56" s="36" t="s">
        <v>148</v>
      </c>
      <c r="C56" s="36" t="s">
        <v>151</v>
      </c>
      <c r="D56" s="36" t="s">
        <v>152</v>
      </c>
      <c r="E56" s="36" t="s">
        <v>181</v>
      </c>
    </row>
    <row r="57" spans="1:8" ht="81" x14ac:dyDescent="0.3">
      <c r="A57" s="48" t="s">
        <v>153</v>
      </c>
      <c r="B57" s="37" t="s">
        <v>154</v>
      </c>
      <c r="C57" s="37" t="s">
        <v>155</v>
      </c>
      <c r="D57" s="37" t="s">
        <v>156</v>
      </c>
      <c r="E57" s="37" t="s">
        <v>155</v>
      </c>
    </row>
    <row r="58" spans="1:8" ht="64.8" x14ac:dyDescent="0.3">
      <c r="A58" s="48" t="s">
        <v>157</v>
      </c>
      <c r="B58" s="37" t="s">
        <v>158</v>
      </c>
      <c r="C58" s="37" t="s">
        <v>225</v>
      </c>
      <c r="D58" s="37" t="s">
        <v>160</v>
      </c>
      <c r="E58" s="37" t="s">
        <v>161</v>
      </c>
    </row>
    <row r="59" spans="1:8" ht="64.8" x14ac:dyDescent="0.3">
      <c r="A59" s="48" t="s">
        <v>162</v>
      </c>
      <c r="B59" s="37" t="s">
        <v>163</v>
      </c>
      <c r="C59" s="37" t="s">
        <v>208</v>
      </c>
      <c r="D59" s="37" t="s">
        <v>165</v>
      </c>
      <c r="E59" s="37" t="s">
        <v>189</v>
      </c>
    </row>
    <row r="60" spans="1:8" ht="64.8" x14ac:dyDescent="0.3">
      <c r="A60" s="48" t="s">
        <v>166</v>
      </c>
      <c r="B60" s="37" t="s">
        <v>167</v>
      </c>
      <c r="C60" s="37" t="s">
        <v>168</v>
      </c>
      <c r="D60" s="37" t="s">
        <v>169</v>
      </c>
      <c r="E60" s="37" t="s">
        <v>170</v>
      </c>
    </row>
    <row r="61" spans="1:8" ht="48.6" x14ac:dyDescent="0.3">
      <c r="A61" s="48" t="s">
        <v>171</v>
      </c>
      <c r="B61" s="37" t="s">
        <v>172</v>
      </c>
      <c r="C61" s="37" t="s">
        <v>173</v>
      </c>
      <c r="D61" s="37" t="s">
        <v>174</v>
      </c>
      <c r="E61" s="37" t="s">
        <v>175</v>
      </c>
    </row>
    <row r="62" spans="1:8" ht="64.8" x14ac:dyDescent="0.3">
      <c r="A62" s="48" t="s">
        <v>176</v>
      </c>
      <c r="B62" s="37" t="s">
        <v>177</v>
      </c>
      <c r="C62" s="37" t="s">
        <v>178</v>
      </c>
      <c r="D62" s="37" t="s">
        <v>179</v>
      </c>
      <c r="E62" s="37" t="s">
        <v>180</v>
      </c>
    </row>
    <row r="63" spans="1:8" ht="162" x14ac:dyDescent="0.3">
      <c r="A63" s="48" t="s">
        <v>188</v>
      </c>
      <c r="B63" s="37" t="s">
        <v>195</v>
      </c>
      <c r="C63" s="37" t="s">
        <v>196</v>
      </c>
      <c r="D63" s="37" t="s">
        <v>197</v>
      </c>
      <c r="E63" s="37" t="s">
        <v>194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5652-E841-459F-B74F-55BEBE33B7BD}">
  <dimension ref="A2:H63"/>
  <sheetViews>
    <sheetView topLeftCell="A43" workbookViewId="0">
      <selection activeCell="H51" sqref="H51"/>
    </sheetView>
  </sheetViews>
  <sheetFormatPr defaultRowHeight="16.2" x14ac:dyDescent="0.3"/>
  <cols>
    <col min="2" max="2" width="21.77734375" customWidth="1"/>
    <col min="3" max="3" width="18.109375" customWidth="1"/>
    <col min="4" max="4" width="13.5546875" customWidth="1"/>
    <col min="5" max="5" width="13.88671875" customWidth="1"/>
    <col min="6" max="6" width="14.21875" customWidth="1"/>
    <col min="7" max="7" width="31.21875" customWidth="1"/>
    <col min="8" max="8" width="87.21875" customWidth="1"/>
  </cols>
  <sheetData>
    <row r="2" spans="1:8" ht="16.8" thickBot="1" x14ac:dyDescent="0.35"/>
    <row r="3" spans="1:8" ht="16.8" thickBot="1" x14ac:dyDescent="0.35">
      <c r="A3" s="7" t="s">
        <v>149</v>
      </c>
      <c r="B3" s="7" t="s">
        <v>3</v>
      </c>
      <c r="C3" s="7" t="s">
        <v>4</v>
      </c>
      <c r="D3" s="7" t="s">
        <v>5</v>
      </c>
      <c r="E3" s="7" t="s">
        <v>239</v>
      </c>
      <c r="F3" s="7" t="s">
        <v>148</v>
      </c>
      <c r="G3" s="7" t="s">
        <v>182</v>
      </c>
      <c r="H3" s="9" t="s">
        <v>186</v>
      </c>
    </row>
    <row r="4" spans="1:8" x14ac:dyDescent="0.3">
      <c r="A4" s="44">
        <v>1</v>
      </c>
      <c r="B4" s="12" t="s">
        <v>23</v>
      </c>
      <c r="C4" s="12" t="s">
        <v>24</v>
      </c>
      <c r="D4" s="12" t="s">
        <v>25</v>
      </c>
      <c r="E4" s="40">
        <v>90</v>
      </c>
      <c r="F4" s="39" t="s">
        <v>203</v>
      </c>
      <c r="G4" s="39" t="s">
        <v>204</v>
      </c>
      <c r="H4" s="39" t="s">
        <v>206</v>
      </c>
    </row>
    <row r="5" spans="1:8" x14ac:dyDescent="0.3">
      <c r="A5" s="45">
        <v>2</v>
      </c>
      <c r="B5" s="20" t="s">
        <v>27</v>
      </c>
      <c r="C5" s="20" t="s">
        <v>28</v>
      </c>
      <c r="D5" s="20" t="s">
        <v>29</v>
      </c>
    </row>
    <row r="6" spans="1:8" x14ac:dyDescent="0.3">
      <c r="A6" s="41">
        <v>3</v>
      </c>
      <c r="B6" s="24" t="s">
        <v>30</v>
      </c>
      <c r="C6" s="24" t="s">
        <v>31</v>
      </c>
      <c r="D6" s="24" t="s">
        <v>32</v>
      </c>
    </row>
    <row r="7" spans="1:8" x14ac:dyDescent="0.3">
      <c r="A7" s="45">
        <v>4</v>
      </c>
      <c r="B7" s="20" t="s">
        <v>33</v>
      </c>
      <c r="C7" s="20" t="s">
        <v>34</v>
      </c>
      <c r="D7" s="20" t="s">
        <v>35</v>
      </c>
      <c r="E7" s="42">
        <v>85</v>
      </c>
      <c r="F7" s="39" t="s">
        <v>210</v>
      </c>
      <c r="G7" s="39" t="s">
        <v>277</v>
      </c>
      <c r="H7" s="39" t="s">
        <v>276</v>
      </c>
    </row>
    <row r="8" spans="1:8" x14ac:dyDescent="0.3">
      <c r="A8" s="46">
        <v>5</v>
      </c>
      <c r="B8" s="28" t="s">
        <v>36</v>
      </c>
      <c r="C8" s="28" t="s">
        <v>37</v>
      </c>
      <c r="D8" s="28" t="s">
        <v>38</v>
      </c>
    </row>
    <row r="9" spans="1:8" x14ac:dyDescent="0.3">
      <c r="A9" s="44">
        <v>6</v>
      </c>
      <c r="B9" s="12" t="s">
        <v>39</v>
      </c>
      <c r="C9" s="12" t="s">
        <v>40</v>
      </c>
      <c r="D9" s="12" t="s">
        <v>41</v>
      </c>
    </row>
    <row r="10" spans="1:8" x14ac:dyDescent="0.3">
      <c r="A10" s="45">
        <v>7</v>
      </c>
      <c r="B10" s="20" t="s">
        <v>42</v>
      </c>
      <c r="C10" s="20" t="s">
        <v>43</v>
      </c>
      <c r="D10" s="20" t="s">
        <v>44</v>
      </c>
      <c r="E10" s="40">
        <v>90</v>
      </c>
      <c r="F10" s="39" t="s">
        <v>203</v>
      </c>
      <c r="G10" s="39" t="s">
        <v>204</v>
      </c>
      <c r="H10" s="39" t="s">
        <v>206</v>
      </c>
    </row>
    <row r="11" spans="1:8" x14ac:dyDescent="0.3">
      <c r="A11" s="41">
        <v>8</v>
      </c>
      <c r="B11" s="24" t="s">
        <v>27</v>
      </c>
      <c r="C11" s="41">
        <v>111701035</v>
      </c>
      <c r="D11" s="24" t="s">
        <v>200</v>
      </c>
    </row>
    <row r="12" spans="1:8" x14ac:dyDescent="0.3">
      <c r="A12" s="45">
        <v>9</v>
      </c>
      <c r="B12" s="20" t="s">
        <v>46</v>
      </c>
      <c r="C12" s="20" t="s">
        <v>47</v>
      </c>
      <c r="D12" s="20" t="s">
        <v>48</v>
      </c>
    </row>
    <row r="13" spans="1:8" x14ac:dyDescent="0.3">
      <c r="A13" s="46">
        <v>10</v>
      </c>
      <c r="B13" s="28" t="s">
        <v>49</v>
      </c>
      <c r="C13" s="28" t="s">
        <v>50</v>
      </c>
      <c r="D13" s="28" t="s">
        <v>51</v>
      </c>
      <c r="E13" s="40">
        <v>0</v>
      </c>
      <c r="F13" s="39" t="s">
        <v>184</v>
      </c>
      <c r="G13" s="39" t="s">
        <v>183</v>
      </c>
    </row>
    <row r="14" spans="1:8" x14ac:dyDescent="0.3">
      <c r="A14" s="44">
        <v>11</v>
      </c>
      <c r="B14" s="12" t="s">
        <v>52</v>
      </c>
      <c r="C14" s="12" t="s">
        <v>53</v>
      </c>
      <c r="D14" s="12" t="s">
        <v>54</v>
      </c>
    </row>
    <row r="15" spans="1:8" x14ac:dyDescent="0.3">
      <c r="A15" s="45">
        <v>12</v>
      </c>
      <c r="B15" s="20" t="s">
        <v>52</v>
      </c>
      <c r="C15" s="20" t="s">
        <v>56</v>
      </c>
      <c r="D15" s="20" t="s">
        <v>57</v>
      </c>
    </row>
    <row r="16" spans="1:8" x14ac:dyDescent="0.3">
      <c r="A16" s="41">
        <v>13</v>
      </c>
      <c r="B16" s="24" t="s">
        <v>58</v>
      </c>
      <c r="C16" s="24" t="s">
        <v>59</v>
      </c>
      <c r="D16" s="24" t="s">
        <v>60</v>
      </c>
      <c r="E16" s="40">
        <v>90</v>
      </c>
      <c r="F16" s="39" t="s">
        <v>203</v>
      </c>
      <c r="G16" s="39" t="s">
        <v>204</v>
      </c>
      <c r="H16" s="39" t="s">
        <v>206</v>
      </c>
    </row>
    <row r="17" spans="1:8" x14ac:dyDescent="0.3">
      <c r="A17" s="45">
        <v>14</v>
      </c>
      <c r="B17" s="20" t="s">
        <v>58</v>
      </c>
      <c r="C17" s="20" t="s">
        <v>61</v>
      </c>
      <c r="D17" s="20" t="s">
        <v>62</v>
      </c>
      <c r="E17" s="42">
        <v>80</v>
      </c>
      <c r="F17" s="39" t="s">
        <v>203</v>
      </c>
      <c r="G17" s="39" t="s">
        <v>204</v>
      </c>
      <c r="H17" s="39" t="s">
        <v>278</v>
      </c>
    </row>
    <row r="18" spans="1:8" x14ac:dyDescent="0.3">
      <c r="A18" s="46">
        <v>15</v>
      </c>
      <c r="B18" s="28" t="s">
        <v>63</v>
      </c>
      <c r="C18" s="28" t="s">
        <v>64</v>
      </c>
      <c r="D18" s="28" t="s">
        <v>65</v>
      </c>
      <c r="E18" s="40">
        <v>90</v>
      </c>
      <c r="F18" s="39" t="s">
        <v>203</v>
      </c>
      <c r="G18" s="39" t="s">
        <v>204</v>
      </c>
      <c r="H18" s="39" t="s">
        <v>206</v>
      </c>
    </row>
    <row r="19" spans="1:8" x14ac:dyDescent="0.3">
      <c r="A19" s="44">
        <v>16</v>
      </c>
      <c r="B19" s="12" t="s">
        <v>66</v>
      </c>
      <c r="C19" s="12" t="s">
        <v>67</v>
      </c>
      <c r="D19" s="12" t="s">
        <v>68</v>
      </c>
    </row>
    <row r="20" spans="1:8" x14ac:dyDescent="0.3">
      <c r="A20" s="45">
        <v>17</v>
      </c>
      <c r="B20" s="20" t="s">
        <v>69</v>
      </c>
      <c r="C20" s="20" t="s">
        <v>70</v>
      </c>
      <c r="D20" s="20" t="s">
        <v>71</v>
      </c>
      <c r="E20" s="40">
        <v>90</v>
      </c>
      <c r="F20" s="39" t="s">
        <v>203</v>
      </c>
      <c r="G20" s="39" t="s">
        <v>204</v>
      </c>
      <c r="H20" s="39" t="s">
        <v>206</v>
      </c>
    </row>
    <row r="21" spans="1:8" x14ac:dyDescent="0.3">
      <c r="A21" s="41">
        <v>18</v>
      </c>
      <c r="B21" s="24" t="s">
        <v>69</v>
      </c>
      <c r="C21" s="24" t="s">
        <v>72</v>
      </c>
      <c r="D21" s="24" t="s">
        <v>73</v>
      </c>
      <c r="E21" s="40">
        <v>90</v>
      </c>
      <c r="F21" s="39" t="s">
        <v>210</v>
      </c>
      <c r="G21" s="39" t="s">
        <v>277</v>
      </c>
      <c r="H21" s="39" t="s">
        <v>279</v>
      </c>
    </row>
    <row r="22" spans="1:8" x14ac:dyDescent="0.3">
      <c r="A22" s="45">
        <v>19</v>
      </c>
      <c r="B22" s="20" t="s">
        <v>74</v>
      </c>
      <c r="C22" s="20" t="s">
        <v>75</v>
      </c>
      <c r="D22" s="20" t="s">
        <v>76</v>
      </c>
      <c r="E22" s="40">
        <v>90</v>
      </c>
      <c r="F22" s="39" t="s">
        <v>203</v>
      </c>
      <c r="G22" s="39" t="s">
        <v>204</v>
      </c>
      <c r="H22" s="39" t="s">
        <v>206</v>
      </c>
    </row>
    <row r="23" spans="1:8" x14ac:dyDescent="0.3">
      <c r="A23" s="46">
        <v>20</v>
      </c>
      <c r="B23" s="28" t="s">
        <v>77</v>
      </c>
      <c r="C23" s="28" t="s">
        <v>78</v>
      </c>
      <c r="D23" s="28" t="s">
        <v>79</v>
      </c>
    </row>
    <row r="24" spans="1:8" x14ac:dyDescent="0.3">
      <c r="A24" s="44">
        <v>21</v>
      </c>
      <c r="B24" s="12" t="s">
        <v>80</v>
      </c>
      <c r="C24" s="12" t="s">
        <v>81</v>
      </c>
      <c r="D24" s="12" t="s">
        <v>82</v>
      </c>
      <c r="E24" s="42">
        <v>80</v>
      </c>
      <c r="F24" s="39" t="s">
        <v>203</v>
      </c>
      <c r="G24" s="39" t="s">
        <v>204</v>
      </c>
      <c r="H24" s="39" t="s">
        <v>280</v>
      </c>
    </row>
    <row r="25" spans="1:8" x14ac:dyDescent="0.3">
      <c r="A25" s="45">
        <v>22</v>
      </c>
      <c r="B25" s="20" t="s">
        <v>83</v>
      </c>
      <c r="C25" s="20" t="s">
        <v>84</v>
      </c>
      <c r="D25" s="20" t="s">
        <v>85</v>
      </c>
    </row>
    <row r="26" spans="1:8" x14ac:dyDescent="0.3">
      <c r="A26" s="41">
        <v>23</v>
      </c>
      <c r="B26" s="24" t="s">
        <v>86</v>
      </c>
      <c r="C26" s="41">
        <v>113450014</v>
      </c>
      <c r="D26" s="24" t="s">
        <v>201</v>
      </c>
    </row>
    <row r="27" spans="1:8" x14ac:dyDescent="0.3">
      <c r="A27" s="45">
        <v>24</v>
      </c>
      <c r="B27" s="20" t="s">
        <v>88</v>
      </c>
      <c r="C27" s="20" t="s">
        <v>89</v>
      </c>
      <c r="D27" s="20" t="s">
        <v>90</v>
      </c>
      <c r="E27" s="40">
        <v>90</v>
      </c>
      <c r="F27" s="39" t="s">
        <v>210</v>
      </c>
      <c r="G27" s="39" t="s">
        <v>277</v>
      </c>
      <c r="H27" s="39" t="s">
        <v>281</v>
      </c>
    </row>
    <row r="28" spans="1:8" x14ac:dyDescent="0.3">
      <c r="A28" s="46">
        <v>25</v>
      </c>
      <c r="B28" s="28" t="s">
        <v>88</v>
      </c>
      <c r="C28" s="28" t="s">
        <v>91</v>
      </c>
      <c r="D28" s="28" t="s">
        <v>92</v>
      </c>
      <c r="E28" s="40">
        <v>90</v>
      </c>
      <c r="F28" s="39" t="s">
        <v>203</v>
      </c>
      <c r="G28" s="39" t="s">
        <v>204</v>
      </c>
      <c r="H28" s="39" t="s">
        <v>206</v>
      </c>
    </row>
    <row r="29" spans="1:8" x14ac:dyDescent="0.3">
      <c r="A29" s="44">
        <v>26</v>
      </c>
      <c r="B29" s="12" t="s">
        <v>88</v>
      </c>
      <c r="C29" s="12" t="s">
        <v>93</v>
      </c>
      <c r="D29" s="12" t="s">
        <v>94</v>
      </c>
      <c r="E29" s="40">
        <v>90</v>
      </c>
      <c r="F29" s="39" t="s">
        <v>203</v>
      </c>
      <c r="G29" s="39" t="s">
        <v>204</v>
      </c>
      <c r="H29" s="39" t="s">
        <v>206</v>
      </c>
    </row>
    <row r="30" spans="1:8" x14ac:dyDescent="0.3">
      <c r="A30" s="45">
        <v>27</v>
      </c>
      <c r="B30" s="20" t="s">
        <v>95</v>
      </c>
      <c r="C30" s="20" t="s">
        <v>96</v>
      </c>
      <c r="D30" s="20" t="s">
        <v>97</v>
      </c>
      <c r="E30" s="40">
        <v>85</v>
      </c>
      <c r="F30" s="39" t="s">
        <v>210</v>
      </c>
      <c r="G30" s="39" t="s">
        <v>277</v>
      </c>
      <c r="H30" s="39" t="s">
        <v>282</v>
      </c>
    </row>
    <row r="31" spans="1:8" x14ac:dyDescent="0.3">
      <c r="A31" s="41">
        <v>28</v>
      </c>
      <c r="B31" s="24" t="s">
        <v>88</v>
      </c>
      <c r="C31" s="24" t="s">
        <v>98</v>
      </c>
      <c r="D31" s="24" t="s">
        <v>99</v>
      </c>
    </row>
    <row r="32" spans="1:8" x14ac:dyDescent="0.3">
      <c r="A32" s="45">
        <v>29</v>
      </c>
      <c r="B32" s="20" t="s">
        <v>95</v>
      </c>
      <c r="C32" s="20" t="s">
        <v>100</v>
      </c>
      <c r="D32" s="20" t="s">
        <v>101</v>
      </c>
    </row>
    <row r="33" spans="1:8" x14ac:dyDescent="0.3">
      <c r="A33" s="46">
        <v>30</v>
      </c>
      <c r="B33" s="28" t="s">
        <v>102</v>
      </c>
      <c r="C33" s="28" t="s">
        <v>103</v>
      </c>
      <c r="D33" s="28" t="s">
        <v>104</v>
      </c>
      <c r="E33" s="40">
        <v>90</v>
      </c>
      <c r="F33" s="39" t="s">
        <v>203</v>
      </c>
      <c r="G33" s="39" t="s">
        <v>204</v>
      </c>
      <c r="H33" s="39" t="s">
        <v>206</v>
      </c>
    </row>
    <row r="34" spans="1:8" x14ac:dyDescent="0.3">
      <c r="A34" s="44">
        <v>31</v>
      </c>
      <c r="B34" s="12" t="s">
        <v>105</v>
      </c>
      <c r="C34" s="12" t="s">
        <v>106</v>
      </c>
      <c r="D34" s="12" t="s">
        <v>107</v>
      </c>
      <c r="E34" s="40">
        <v>90</v>
      </c>
      <c r="F34" s="39" t="s">
        <v>203</v>
      </c>
      <c r="G34" s="39" t="s">
        <v>204</v>
      </c>
      <c r="H34" s="39" t="s">
        <v>206</v>
      </c>
    </row>
    <row r="35" spans="1:8" x14ac:dyDescent="0.3">
      <c r="A35" s="45">
        <v>32</v>
      </c>
      <c r="B35" s="20" t="s">
        <v>108</v>
      </c>
      <c r="C35" s="20" t="s">
        <v>109</v>
      </c>
      <c r="D35" s="20" t="s">
        <v>110</v>
      </c>
    </row>
    <row r="36" spans="1:8" x14ac:dyDescent="0.3">
      <c r="A36" s="41">
        <v>33</v>
      </c>
      <c r="B36" s="24" t="s">
        <v>111</v>
      </c>
      <c r="C36" s="24" t="s">
        <v>112</v>
      </c>
      <c r="D36" s="24" t="s">
        <v>113</v>
      </c>
      <c r="E36" s="42">
        <v>95</v>
      </c>
      <c r="F36" s="39" t="s">
        <v>203</v>
      </c>
      <c r="G36" s="39" t="s">
        <v>204</v>
      </c>
      <c r="H36" s="39" t="s">
        <v>284</v>
      </c>
    </row>
    <row r="37" spans="1:8" x14ac:dyDescent="0.3">
      <c r="A37" s="45">
        <v>34</v>
      </c>
      <c r="B37" s="20" t="s">
        <v>114</v>
      </c>
      <c r="C37" s="20" t="s">
        <v>115</v>
      </c>
      <c r="D37" s="20" t="s">
        <v>116</v>
      </c>
      <c r="E37" s="40">
        <v>90</v>
      </c>
      <c r="F37" s="39" t="s">
        <v>203</v>
      </c>
      <c r="G37" s="39" t="s">
        <v>204</v>
      </c>
      <c r="H37" s="39" t="s">
        <v>206</v>
      </c>
    </row>
    <row r="38" spans="1:8" x14ac:dyDescent="0.3">
      <c r="A38" s="46">
        <v>35</v>
      </c>
      <c r="B38" s="28" t="s">
        <v>117</v>
      </c>
      <c r="C38" s="28" t="s">
        <v>118</v>
      </c>
      <c r="D38" s="28" t="s">
        <v>119</v>
      </c>
      <c r="E38" s="40">
        <v>90</v>
      </c>
      <c r="F38" s="39" t="s">
        <v>203</v>
      </c>
      <c r="G38" s="39" t="s">
        <v>204</v>
      </c>
      <c r="H38" s="39" t="s">
        <v>206</v>
      </c>
    </row>
    <row r="39" spans="1:8" x14ac:dyDescent="0.3">
      <c r="A39" s="44">
        <v>36</v>
      </c>
      <c r="B39" s="12" t="s">
        <v>120</v>
      </c>
      <c r="C39" s="12" t="s">
        <v>121</v>
      </c>
      <c r="D39" s="12" t="s">
        <v>122</v>
      </c>
      <c r="E39" s="40">
        <v>90</v>
      </c>
      <c r="F39" s="39" t="s">
        <v>203</v>
      </c>
      <c r="G39" s="39" t="s">
        <v>204</v>
      </c>
      <c r="H39" s="39" t="s">
        <v>206</v>
      </c>
    </row>
    <row r="40" spans="1:8" x14ac:dyDescent="0.3">
      <c r="A40" s="45">
        <v>37</v>
      </c>
      <c r="B40" s="20" t="s">
        <v>123</v>
      </c>
      <c r="C40" s="20" t="s">
        <v>124</v>
      </c>
      <c r="D40" s="20" t="s">
        <v>125</v>
      </c>
      <c r="E40" s="40">
        <v>90</v>
      </c>
      <c r="F40" s="39" t="s">
        <v>203</v>
      </c>
      <c r="G40" s="39" t="s">
        <v>204</v>
      </c>
      <c r="H40" s="39" t="s">
        <v>206</v>
      </c>
    </row>
    <row r="41" spans="1:8" x14ac:dyDescent="0.3">
      <c r="A41" s="41">
        <v>38</v>
      </c>
      <c r="B41" s="24" t="s">
        <v>123</v>
      </c>
      <c r="C41" s="24" t="s">
        <v>126</v>
      </c>
      <c r="D41" s="24" t="s">
        <v>127</v>
      </c>
      <c r="E41" s="40">
        <v>90</v>
      </c>
      <c r="F41" s="39" t="s">
        <v>203</v>
      </c>
      <c r="G41" s="39" t="s">
        <v>204</v>
      </c>
      <c r="H41" s="39" t="s">
        <v>206</v>
      </c>
    </row>
    <row r="42" spans="1:8" x14ac:dyDescent="0.3">
      <c r="A42" s="45">
        <v>39</v>
      </c>
      <c r="B42" s="20" t="s">
        <v>128</v>
      </c>
      <c r="C42" s="20" t="s">
        <v>129</v>
      </c>
      <c r="D42" s="20" t="s">
        <v>130</v>
      </c>
      <c r="E42" s="40">
        <v>95</v>
      </c>
      <c r="F42" s="39" t="s">
        <v>203</v>
      </c>
      <c r="G42" s="39" t="s">
        <v>204</v>
      </c>
      <c r="H42" s="39" t="s">
        <v>283</v>
      </c>
    </row>
    <row r="43" spans="1:8" x14ac:dyDescent="0.3">
      <c r="A43" s="46">
        <v>40</v>
      </c>
      <c r="B43" s="28" t="s">
        <v>128</v>
      </c>
      <c r="C43" s="28" t="s">
        <v>131</v>
      </c>
      <c r="D43" s="28" t="s">
        <v>132</v>
      </c>
      <c r="E43" s="40">
        <v>90</v>
      </c>
      <c r="F43" s="39" t="s">
        <v>203</v>
      </c>
      <c r="G43" s="39" t="s">
        <v>204</v>
      </c>
      <c r="H43" s="39" t="s">
        <v>206</v>
      </c>
    </row>
    <row r="44" spans="1:8" x14ac:dyDescent="0.3">
      <c r="A44" s="44">
        <v>41</v>
      </c>
      <c r="B44" s="12" t="s">
        <v>133</v>
      </c>
      <c r="C44" s="12" t="s">
        <v>134</v>
      </c>
      <c r="D44" s="12" t="s">
        <v>135</v>
      </c>
      <c r="E44" s="40">
        <v>90</v>
      </c>
      <c r="F44" s="39" t="s">
        <v>188</v>
      </c>
      <c r="G44" s="39" t="s">
        <v>194</v>
      </c>
      <c r="H44" t="s">
        <v>270</v>
      </c>
    </row>
    <row r="45" spans="1:8" x14ac:dyDescent="0.3">
      <c r="A45" s="45">
        <v>42</v>
      </c>
      <c r="B45" s="20" t="s">
        <v>133</v>
      </c>
      <c r="C45" s="20" t="s">
        <v>136</v>
      </c>
      <c r="D45" s="20" t="s">
        <v>137</v>
      </c>
      <c r="E45" s="40">
        <v>70</v>
      </c>
      <c r="F45" s="39" t="s">
        <v>210</v>
      </c>
      <c r="G45" s="39" t="s">
        <v>277</v>
      </c>
      <c r="H45" s="39" t="s">
        <v>285</v>
      </c>
    </row>
    <row r="46" spans="1:8" x14ac:dyDescent="0.3">
      <c r="A46" s="41">
        <v>43</v>
      </c>
      <c r="B46" s="24" t="s">
        <v>133</v>
      </c>
      <c r="C46" s="24" t="s">
        <v>138</v>
      </c>
      <c r="D46" s="24" t="s">
        <v>139</v>
      </c>
      <c r="E46" s="40">
        <v>88</v>
      </c>
      <c r="F46" s="39" t="s">
        <v>228</v>
      </c>
      <c r="G46" s="39" t="s">
        <v>287</v>
      </c>
      <c r="H46" t="s">
        <v>286</v>
      </c>
    </row>
    <row r="47" spans="1:8" x14ac:dyDescent="0.3">
      <c r="A47" s="45">
        <v>44</v>
      </c>
      <c r="B47" s="20" t="s">
        <v>133</v>
      </c>
      <c r="C47" s="20" t="s">
        <v>140</v>
      </c>
      <c r="D47" s="20" t="s">
        <v>141</v>
      </c>
      <c r="E47" s="40">
        <v>90</v>
      </c>
      <c r="F47" s="39" t="s">
        <v>188</v>
      </c>
      <c r="G47" s="39" t="s">
        <v>194</v>
      </c>
      <c r="H47" t="s">
        <v>270</v>
      </c>
    </row>
    <row r="48" spans="1:8" x14ac:dyDescent="0.3">
      <c r="A48" s="46">
        <v>45</v>
      </c>
      <c r="B48" s="28" t="s">
        <v>133</v>
      </c>
      <c r="C48" s="28" t="s">
        <v>142</v>
      </c>
      <c r="D48" s="28" t="s">
        <v>143</v>
      </c>
    </row>
    <row r="49" spans="1:8" x14ac:dyDescent="0.3">
      <c r="A49" s="44">
        <v>46</v>
      </c>
      <c r="B49" s="12" t="s">
        <v>144</v>
      </c>
      <c r="C49" s="12" t="s">
        <v>145</v>
      </c>
      <c r="D49" s="12" t="s">
        <v>146</v>
      </c>
      <c r="E49" s="40">
        <v>95</v>
      </c>
      <c r="F49" s="39" t="s">
        <v>203</v>
      </c>
      <c r="G49" s="39" t="s">
        <v>204</v>
      </c>
      <c r="H49" s="39" t="s">
        <v>288</v>
      </c>
    </row>
    <row r="56" spans="1:8" x14ac:dyDescent="0.3">
      <c r="A56" s="47" t="s">
        <v>150</v>
      </c>
      <c r="B56" s="36" t="s">
        <v>148</v>
      </c>
      <c r="C56" s="36" t="s">
        <v>151</v>
      </c>
      <c r="D56" s="36" t="s">
        <v>152</v>
      </c>
      <c r="E56" s="36" t="s">
        <v>181</v>
      </c>
    </row>
    <row r="57" spans="1:8" ht="48.6" x14ac:dyDescent="0.3">
      <c r="A57" s="48" t="s">
        <v>153</v>
      </c>
      <c r="B57" s="37" t="s">
        <v>154</v>
      </c>
      <c r="C57" s="37" t="s">
        <v>155</v>
      </c>
      <c r="D57" s="37" t="s">
        <v>156</v>
      </c>
      <c r="E57" s="37" t="s">
        <v>155</v>
      </c>
    </row>
    <row r="58" spans="1:8" ht="48.6" x14ac:dyDescent="0.3">
      <c r="A58" s="48" t="s">
        <v>157</v>
      </c>
      <c r="B58" s="37" t="s">
        <v>158</v>
      </c>
      <c r="C58" s="37" t="s">
        <v>225</v>
      </c>
      <c r="D58" s="37" t="s">
        <v>160</v>
      </c>
      <c r="E58" s="37" t="s">
        <v>161</v>
      </c>
    </row>
    <row r="59" spans="1:8" ht="48.6" x14ac:dyDescent="0.3">
      <c r="A59" s="48" t="s">
        <v>162</v>
      </c>
      <c r="B59" s="37" t="s">
        <v>163</v>
      </c>
      <c r="C59" s="37" t="s">
        <v>208</v>
      </c>
      <c r="D59" s="37" t="s">
        <v>165</v>
      </c>
      <c r="E59" s="37" t="s">
        <v>189</v>
      </c>
    </row>
    <row r="60" spans="1:8" ht="48.6" x14ac:dyDescent="0.3">
      <c r="A60" s="48" t="s">
        <v>166</v>
      </c>
      <c r="B60" s="37" t="s">
        <v>167</v>
      </c>
      <c r="C60" s="37" t="s">
        <v>168</v>
      </c>
      <c r="D60" s="37" t="s">
        <v>169</v>
      </c>
      <c r="E60" s="37" t="s">
        <v>170</v>
      </c>
    </row>
    <row r="61" spans="1:8" ht="32.4" x14ac:dyDescent="0.3">
      <c r="A61" s="48" t="s">
        <v>171</v>
      </c>
      <c r="B61" s="37" t="s">
        <v>172</v>
      </c>
      <c r="C61" s="37" t="s">
        <v>173</v>
      </c>
      <c r="D61" s="37" t="s">
        <v>174</v>
      </c>
      <c r="E61" s="37" t="s">
        <v>175</v>
      </c>
    </row>
    <row r="62" spans="1:8" ht="48.6" x14ac:dyDescent="0.3">
      <c r="A62" s="48" t="s">
        <v>176</v>
      </c>
      <c r="B62" s="37" t="s">
        <v>177</v>
      </c>
      <c r="C62" s="37" t="s">
        <v>178</v>
      </c>
      <c r="D62" s="37" t="s">
        <v>179</v>
      </c>
      <c r="E62" s="37" t="s">
        <v>180</v>
      </c>
    </row>
    <row r="63" spans="1:8" ht="97.2" x14ac:dyDescent="0.3">
      <c r="A63" s="48" t="s">
        <v>188</v>
      </c>
      <c r="B63" s="37" t="s">
        <v>195</v>
      </c>
      <c r="C63" s="37" t="s">
        <v>196</v>
      </c>
      <c r="D63" s="37" t="s">
        <v>197</v>
      </c>
      <c r="E63" s="37" t="s">
        <v>194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orig</vt:lpstr>
      <vt:lpstr>HW1_作業批改</vt:lpstr>
      <vt:lpstr>HW2_作業批改</vt:lpstr>
      <vt:lpstr>HW3_作業批改</vt:lpstr>
      <vt:lpstr>HW4_作業批改</vt:lpstr>
      <vt:lpstr>HW5_作業批改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Smooth Liao</dc:creator>
  <cp:lastModifiedBy>筠喬 高</cp:lastModifiedBy>
  <dcterms:created xsi:type="dcterms:W3CDTF">2026-03-31T07:47:13Z</dcterms:created>
  <dcterms:modified xsi:type="dcterms:W3CDTF">2026-06-25T15:20:17Z</dcterms:modified>
</cp:coreProperties>
</file>